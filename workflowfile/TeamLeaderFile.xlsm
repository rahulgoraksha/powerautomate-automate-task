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30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v027rag\Downloads\PNR_Stats_Model\PNR_Master\"/>
    </mc:Choice>
  </mc:AlternateContent>
  <xr:revisionPtr revIDLastSave="0" documentId="13_ncr:1_{108717A5-A01C-4ED5-89D5-20520566EC4F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Master" sheetId="1" r:id="rId1"/>
    <sheet name="summary" sheetId="14" r:id="rId2"/>
    <sheet name="final table" sheetId="20" r:id="rId3"/>
  </sheets>
  <definedNames>
    <definedName name="_xlnm._FilterDatabase" localSheetId="0" hidden="1">Master!$A$1:$I$22</definedName>
  </definedNames>
  <calcPr calcId="191028"/>
  <pivotCaches>
    <pivotCache cacheId="52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0" l="1"/>
  <c r="E6" i="20"/>
  <c r="E7" i="20"/>
  <c r="E4" i="20"/>
  <c r="E8" i="20"/>
  <c r="D8" i="20"/>
  <c r="C8" i="20"/>
</calcChain>
</file>

<file path=xl/sharedStrings.xml><?xml version="1.0" encoding="utf-8"?>
<sst xmlns="http://schemas.openxmlformats.org/spreadsheetml/2006/main" count="122" uniqueCount="38">
  <si>
    <t>Date</t>
  </si>
  <si>
    <t>Office ID</t>
  </si>
  <si>
    <t>Queue</t>
  </si>
  <si>
    <t>PNR ID</t>
  </si>
  <si>
    <t>Start Time</t>
  </si>
  <si>
    <t>End Time</t>
  </si>
  <si>
    <t>Delta Duration</t>
  </si>
  <si>
    <t>Decimal_24</t>
  </si>
  <si>
    <t>User Name</t>
  </si>
  <si>
    <t>BOMCX0431</t>
  </si>
  <si>
    <t>C0</t>
  </si>
  <si>
    <t>ABCD12</t>
  </si>
  <si>
    <t>Rahul Goraksha</t>
  </si>
  <si>
    <t>BOMCX0444</t>
  </si>
  <si>
    <t>C1</t>
  </si>
  <si>
    <t>C2</t>
  </si>
  <si>
    <t>HKGCX0364</t>
  </si>
  <si>
    <t>C3</t>
  </si>
  <si>
    <t>EM</t>
  </si>
  <si>
    <t>CF</t>
  </si>
  <si>
    <t>ZY12XW</t>
  </si>
  <si>
    <t>ZYXW12</t>
  </si>
  <si>
    <t>MNOP12</t>
  </si>
  <si>
    <t>HKGCX0100</t>
  </si>
  <si>
    <t>ZYMY12</t>
  </si>
  <si>
    <t>ABCD13</t>
  </si>
  <si>
    <t>ABCD14</t>
  </si>
  <si>
    <t>TX</t>
  </si>
  <si>
    <t>XYZW12</t>
  </si>
  <si>
    <t>OPQR12</t>
  </si>
  <si>
    <t>ABCD26</t>
  </si>
  <si>
    <t>AD</t>
  </si>
  <si>
    <t>Values</t>
  </si>
  <si>
    <t>Count of PNR ID</t>
  </si>
  <si>
    <t>Sum of Decimal_24</t>
  </si>
  <si>
    <t>Sum of RE</t>
  </si>
  <si>
    <t>Grand Total</t>
  </si>
  <si>
    <t>IET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</si>
</sst>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:ss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1" fillId="2" borderId="0" xfId="0" applyNumberFormat="1" applyFont="1" applyFill="1" applyAlignment="1">
      <alignment horizontal="center"/>
    </xf>
    <xf numFmtId="46" fontId="1" fillId="0" borderId="0" xfId="0" applyNumberFormat="1" applyFont="1" applyAlignment="1">
      <alignment horizontal="center"/>
    </xf>
    <xf numFmtId="46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pivotButton="1" applyAlignment="1">
      <alignment horizontal="center"/>
    </xf>
  </cellXfs>
  <cellStyles count="1">
    <cellStyle name="Normal" xfId="0" builtinId="0"/>
  </cellStyles>
  <dxfs count="18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[TeamLeaderFile.xlsm]summary!PivotTable3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u="none" strike="noStrike" baseline="0"/>
              <a:t>PNR ID Count</a:t>
            </a:r>
            <a:endParaRPr lang="en-US"/>
          </a:p>
        </c:rich>
      </c:tx>
      <c:layout>
        <c:manualLayout>
          <c:xMode val="edge"/>
          <c:yMode val="edge"/>
          <c:x val="2.5152668416447924E-2"/>
          <c:y val="0.123979294254884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summary!$D$3:$D$4</c:f>
              <c:strCache>
                <c:ptCount val="1"/>
                <c:pt idx="0">
                  <c:v>Count of PNR ID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F86-4FEF-A29A-A5DE8A36C07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059-4C97-9D61-F9141432079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059-4C97-9D61-F9141432079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059-4C97-9D61-F9141432079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ABC-4FC7-B8AD-33C2C25C9D6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ABC-4FC7-B8AD-33C2C25C9D6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ABC-4FC7-B8AD-33C2C25C9D6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ABC-4FC7-B8AD-33C2C25C9D6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ABC-4FC7-B8AD-33C2C25C9D6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ABC-4FC7-B8AD-33C2C25C9D6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ABC-4FC7-B8AD-33C2C25C9D6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ABC-4FC7-B8AD-33C2C25C9D6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5ABC-4FC7-B8AD-33C2C25C9D6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5ABC-4FC7-B8AD-33C2C25C9D69}"/>
              </c:ext>
            </c:extLst>
          </c:dPt>
          <c:dLbls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summary!$B$5:$C$9</c:f>
              <c:strCache>
                <c:ptCount val="4"/>
                <c:pt idx="0">
                  <c:v>BOMCX0431</c:v>
                </c:pt>
                <c:pt idx="1">
                  <c:v>BOMCX0444</c:v>
                </c:pt>
                <c:pt idx="2">
                  <c:v>HKGCX0364</c:v>
                </c:pt>
                <c:pt idx="3">
                  <c:v>HKGCX0100</c:v>
                </c:pt>
              </c:strCache>
            </c:strRef>
          </c:cat>
          <c:val>
            <c:numRef>
              <c:f>summary!$D$5:$D$9</c:f>
              <c:numCache>
                <c:formatCode>General</c:formatCode>
                <c:ptCount val="4"/>
                <c:pt idx="0">
                  <c:v>8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86-4FEF-A29A-A5DE8A36C070}"/>
            </c:ext>
          </c:extLst>
        </c:ser>
        <c:ser>
          <c:idx val="1"/>
          <c:order val="1"/>
          <c:tx>
            <c:strRef>
              <c:f>summary!$E$3:$E$4</c:f>
              <c:strCache>
                <c:ptCount val="1"/>
                <c:pt idx="0">
                  <c:v>Sum of Decimal_24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059-4C97-9D61-F9141432079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059-4C97-9D61-F9141432079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059-4C97-9D61-F9141432079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059-4C97-9D61-F9141432079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5ABC-4FC7-B8AD-33C2C25C9D6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5ABC-4FC7-B8AD-33C2C25C9D6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5ABC-4FC7-B8AD-33C2C25C9D6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5ABC-4FC7-B8AD-33C2C25C9D6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5ABC-4FC7-B8AD-33C2C25C9D6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5ABC-4FC7-B8AD-33C2C25C9D6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5ABC-4FC7-B8AD-33C2C25C9D6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5ABC-4FC7-B8AD-33C2C25C9D6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5ABC-4FC7-B8AD-33C2C25C9D6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5ABC-4FC7-B8AD-33C2C25C9D69}"/>
              </c:ext>
            </c:extLst>
          </c:dPt>
          <c:dLbls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summary!$B$5:$C$9</c:f>
              <c:strCache>
                <c:ptCount val="4"/>
                <c:pt idx="0">
                  <c:v>BOMCX0431</c:v>
                </c:pt>
                <c:pt idx="1">
                  <c:v>BOMCX0444</c:v>
                </c:pt>
                <c:pt idx="2">
                  <c:v>HKGCX0364</c:v>
                </c:pt>
                <c:pt idx="3">
                  <c:v>HKGCX0100</c:v>
                </c:pt>
              </c:strCache>
            </c:strRef>
          </c:cat>
          <c:val>
            <c:numRef>
              <c:f>summary!$E$5:$E$9</c:f>
              <c:numCache>
                <c:formatCode>0.00</c:formatCode>
                <c:ptCount val="4"/>
                <c:pt idx="0">
                  <c:v>0.41083333315327764</c:v>
                </c:pt>
                <c:pt idx="1">
                  <c:v>24.345833333500195</c:v>
                </c:pt>
                <c:pt idx="2">
                  <c:v>2.6944444456603378E-2</c:v>
                </c:pt>
                <c:pt idx="3">
                  <c:v>3.3055555599275976E-2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86-4FEF-A29A-A5DE8A36C070}"/>
            </c:ext>
          </c:extLst>
        </c:ser>
        <c:ser>
          <c:idx val="2"/>
          <c:order val="2"/>
          <c:tx>
            <c:strRef>
              <c:f>summary!$F$3:$F$4</c:f>
              <c:strCache>
                <c:ptCount val="1"/>
                <c:pt idx="0">
                  <c:v>Sum of RE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059-4C97-9D61-F9141432079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059-4C97-9D61-F9141432079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059-4C97-9D61-F9141432079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059-4C97-9D61-F9141432079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5ABC-4FC7-B8AD-33C2C25C9D6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5ABC-4FC7-B8AD-33C2C25C9D6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5ABC-4FC7-B8AD-33C2C25C9D6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5ABC-4FC7-B8AD-33C2C25C9D6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5ABC-4FC7-B8AD-33C2C25C9D6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5ABC-4FC7-B8AD-33C2C25C9D6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5ABC-4FC7-B8AD-33C2C25C9D6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5ABC-4FC7-B8AD-33C2C25C9D6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5ABC-4FC7-B8AD-33C2C25C9D6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5ABC-4FC7-B8AD-33C2C25C9D69}"/>
              </c:ext>
            </c:extLst>
          </c:dPt>
          <c:dLbls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summary!$B$5:$C$9</c:f>
              <c:strCache>
                <c:ptCount val="4"/>
                <c:pt idx="0">
                  <c:v>BOMCX0431</c:v>
                </c:pt>
                <c:pt idx="1">
                  <c:v>BOMCX0444</c:v>
                </c:pt>
                <c:pt idx="2">
                  <c:v>HKGCX0364</c:v>
                </c:pt>
                <c:pt idx="3">
                  <c:v>HKGCX0100</c:v>
                </c:pt>
              </c:strCache>
            </c:strRef>
          </c:cat>
          <c:val>
            <c:numRef>
              <c:f>summary!$F$5:$F$9</c:f>
              <c:numCache>
                <c:formatCode>0.00</c:formatCode>
                <c:ptCount val="4"/>
                <c:pt idx="0">
                  <c:v>2.4340770801742866</c:v>
                </c:pt>
                <c:pt idx="1">
                  <c:v>4.1074790347142752E-2</c:v>
                </c:pt>
                <c:pt idx="2">
                  <c:v>37.113402045107897</c:v>
                </c:pt>
                <c:pt idx="3">
                  <c:v>30.25210080032366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86-4FEF-A29A-A5DE8A36C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0</xdr:row>
          <xdr:rowOff>12700</xdr:rowOff>
        </xdr:from>
        <xdr:to>
          <xdr:col>10</xdr:col>
          <xdr:colOff>0</xdr:colOff>
          <xdr:row>0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Capture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50799</xdr:colOff>
      <xdr:row>0</xdr:row>
      <xdr:rowOff>136524</xdr:rowOff>
    </xdr:from>
    <xdr:to>
      <xdr:col>14</xdr:col>
      <xdr:colOff>911086</xdr:colOff>
      <xdr:row>17</xdr:row>
      <xdr:rowOff>172553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hul Goraksha" refreshedDate="46114.409898032405" createdVersion="7" refreshedVersion="7" minRefreshableVersion="3" recordCount="22" xr:uid="{E79FD43C-2E80-4D83-ACA5-25A3AD12D1A1}">
  <cacheSource type="worksheet">
    <worksheetSource ref="A1:I23" sheet="Master"/>
  </cacheSource>
  <cacheFields count="10">
    <cacheField name="Date" numFmtId="14">
      <sharedItems containsSemiMixedTypes="0" containsNonDate="0" containsDate="1" containsString="0" minDate="2026-03-17T00:00:00" maxDate="2026-04-03T00:00:00"/>
    </cacheField>
    <cacheField name="Office ID" numFmtId="0">
      <sharedItems count="4">
        <s v="BOMCX0431"/>
        <s v="BOMCX0444"/>
        <s v="HKGCX0364"/>
        <s v="HKGCX0100"/>
      </sharedItems>
    </cacheField>
    <cacheField name="Queue" numFmtId="0">
      <sharedItems count="7">
        <s v="C0"/>
        <s v="C1"/>
        <s v="C2"/>
        <s v="C3"/>
        <s v="EM"/>
        <s v="CF"/>
        <s v="TX"/>
      </sharedItems>
    </cacheField>
    <cacheField name="PNR ID" numFmtId="0">
      <sharedItems/>
    </cacheField>
    <cacheField name="Start Time" numFmtId="22">
      <sharedItems containsSemiMixedTypes="0" containsNonDate="0" containsDate="1" containsString="0" minDate="2026-03-17T13:02:48" maxDate="2026-04-02T09:48:22"/>
    </cacheField>
    <cacheField name="End Time" numFmtId="22">
      <sharedItems containsSemiMixedTypes="0" containsNonDate="0" containsDate="1" containsString="0" minDate="2026-03-17T13:02:55" maxDate="2026-04-02T09:49:03"/>
    </cacheField>
    <cacheField name="Delta Duration" numFmtId="164">
      <sharedItems containsSemiMixedTypes="0" containsNonDate="0" containsDate="1" containsString="0" minDate="1899-12-30T00:00:03" maxDate="1899-12-30T18:34:29"/>
    </cacheField>
    <cacheField name="Decimal_24" numFmtId="2">
      <sharedItems containsSemiMixedTypes="0" containsString="0" containsNumber="1" minValue="8.3333335351198912E-4" maxValue="18.574722222285345"/>
    </cacheField>
    <cacheField name="User Name" numFmtId="0">
      <sharedItems/>
    </cacheField>
    <cacheField name="RE" numFmtId="0" formula=" COUNT('PNR ID')/SUM(Decimal_24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26-04-02T00:00:00"/>
    <x v="0"/>
    <x v="0"/>
    <s v="ABCD12"/>
    <d v="2026-04-02T08:23:21"/>
    <d v="2026-04-02T08:23:42"/>
    <d v="1899-12-30T00:00:21"/>
    <n v="5.8333332999609411E-3"/>
    <s v="Rahul Goraksha"/>
  </r>
  <r>
    <d v="2026-04-02T00:00:00"/>
    <x v="1"/>
    <x v="1"/>
    <s v="ABCD12"/>
    <d v="2026-04-02T08:24:03"/>
    <d v="2026-04-02T08:25:01"/>
    <d v="1899-12-30T00:00:58"/>
    <n v="1.6111111210193485E-2"/>
    <s v="Rahul Goraksha"/>
  </r>
  <r>
    <d v="2026-04-02T00:00:00"/>
    <x v="1"/>
    <x v="2"/>
    <s v="ABCD12"/>
    <d v="2026-04-02T08:25:22"/>
    <d v="2026-04-02T08:25:43"/>
    <d v="1899-12-30T00:00:21"/>
    <n v="5.8333332999609411E-3"/>
    <s v="Rahul Goraksha"/>
  </r>
  <r>
    <d v="2026-04-02T00:00:00"/>
    <x v="2"/>
    <x v="2"/>
    <s v="ABCD12"/>
    <d v="2026-04-02T08:26:41"/>
    <d v="2026-04-02T08:27:01"/>
    <d v="1899-12-30T00:00:20"/>
    <n v="5.5555556318722665E-3"/>
    <s v="Rahul Goraksha"/>
  </r>
  <r>
    <d v="2026-04-02T00:00:00"/>
    <x v="0"/>
    <x v="3"/>
    <s v="ABCD12"/>
    <d v="2026-04-02T08:28:28"/>
    <d v="2026-04-02T08:28:48"/>
    <d v="1899-12-30T00:00:20"/>
    <n v="5.5555554572492838E-3"/>
    <s v="Rahul Goraksha"/>
  </r>
  <r>
    <d v="2026-04-02T00:00:00"/>
    <x v="0"/>
    <x v="4"/>
    <s v="ABCD12"/>
    <d v="2026-04-02T08:29:19"/>
    <d v="2026-04-02T08:38:59"/>
    <d v="1899-12-30T00:09:40"/>
    <n v="0.16111111105419695"/>
    <s v="Rahul Goraksha"/>
  </r>
  <r>
    <d v="2026-04-02T00:00:00"/>
    <x v="0"/>
    <x v="5"/>
    <s v="ABCD12"/>
    <d v="2026-04-02T08:39:14"/>
    <d v="2026-04-02T08:40:04"/>
    <d v="1899-12-30T00:00:50"/>
    <n v="1.3888888992369175E-2"/>
    <s v="Rahul Goraksha"/>
  </r>
  <r>
    <d v="2026-04-02T00:00:00"/>
    <x v="2"/>
    <x v="0"/>
    <s v="ABCD12"/>
    <d v="2026-04-02T08:40:26"/>
    <d v="2026-04-02T08:41:30"/>
    <d v="1899-12-30T00:01:04"/>
    <n v="1.7777777742594481E-2"/>
    <s v="Rahul Goraksha"/>
  </r>
  <r>
    <d v="2026-03-17T00:00:00"/>
    <x v="0"/>
    <x v="2"/>
    <s v="ZY12XW"/>
    <d v="2026-03-17T13:02:48"/>
    <d v="2026-03-17T13:02:55"/>
    <d v="1899-12-30T00:00:07"/>
    <n v="1.9444443751126528E-3"/>
    <s v="Rahul Goraksha"/>
  </r>
  <r>
    <d v="2026-03-17T00:00:00"/>
    <x v="0"/>
    <x v="2"/>
    <s v="ZYXW12"/>
    <d v="2026-03-17T13:12:49"/>
    <d v="2026-03-17T13:12:52"/>
    <d v="1899-12-30T00:00:03"/>
    <n v="8.3333335351198912E-4"/>
    <s v="Rahul Goraksha"/>
  </r>
  <r>
    <d v="2026-03-17T00:00:00"/>
    <x v="0"/>
    <x v="2"/>
    <s v="MNOP12"/>
    <d v="2026-03-17T13:40:14"/>
    <d v="2026-03-17T13:46:26"/>
    <d v="1899-12-30T00:06:12"/>
    <n v="0.10333333321614191"/>
    <s v="Rahul Goraksha"/>
  </r>
  <r>
    <d v="2026-03-17T00:00:00"/>
    <x v="0"/>
    <x v="1"/>
    <s v="MNOP12"/>
    <d v="2026-03-17T13:45:28"/>
    <d v="2026-03-17T13:52:34"/>
    <d v="1899-12-30T00:07:06"/>
    <n v="0.11833333340473473"/>
    <s v="Rahul Goraksha"/>
  </r>
  <r>
    <d v="2026-03-17T00:00:00"/>
    <x v="3"/>
    <x v="4"/>
    <s v="ZYXW12"/>
    <d v="2026-03-17T14:00:05"/>
    <d v="2026-03-17T14:01:38"/>
    <d v="1899-12-30T00:01:33"/>
    <n v="2.5833333260379732E-2"/>
    <s v="Rahul Goraksha"/>
  </r>
  <r>
    <d v="2026-03-17T00:00:00"/>
    <x v="3"/>
    <x v="4"/>
    <s v="ABCD12"/>
    <d v="2026-03-17T14:05:08"/>
    <d v="2026-03-17T14:05:23"/>
    <d v="1899-12-30T00:00:15"/>
    <n v="4.1666667675599456E-3"/>
    <s v="Rahul Goraksha"/>
  </r>
  <r>
    <d v="2026-03-17T00:00:00"/>
    <x v="3"/>
    <x v="4"/>
    <s v="ZYMY12"/>
    <d v="2026-03-17T21:17:17"/>
    <d v="2026-03-17T21:17:23"/>
    <d v="1899-12-30T00:00:06"/>
    <n v="1.6666667070239782E-3"/>
    <s v="Rahul Goraksha"/>
  </r>
  <r>
    <d v="2026-03-17T00:00:00"/>
    <x v="1"/>
    <x v="3"/>
    <s v="ABCD12"/>
    <d v="2026-03-17T21:24:06"/>
    <d v="2026-03-18T15:58:35"/>
    <d v="1899-12-30T18:34:29"/>
    <n v="18.574722222285345"/>
    <s v="Rahul Goraksha"/>
  </r>
  <r>
    <d v="2026-03-23T00:00:00"/>
    <x v="1"/>
    <x v="3"/>
    <s v="ABCD13"/>
    <d v="2026-03-23T09:45:24"/>
    <d v="2026-03-23T15:22:43"/>
    <d v="1899-12-30T05:37:19"/>
    <n v="5.6219444444286637"/>
    <s v="Rahul Goraksha"/>
  </r>
  <r>
    <d v="2026-03-23T00:00:00"/>
    <x v="1"/>
    <x v="3"/>
    <s v="ABCD14"/>
    <d v="2026-03-23T15:23:11"/>
    <d v="2026-03-23T15:30:08"/>
    <d v="1899-12-30T00:06:57"/>
    <n v="0.11583333334419876"/>
    <s v="Rahul Goraksha"/>
  </r>
  <r>
    <d v="2026-04-01T00:00:00"/>
    <x v="3"/>
    <x v="6"/>
    <s v="XYZW12"/>
    <d v="2026-04-01T12:18:45"/>
    <d v="2026-04-01T12:18:50"/>
    <d v="1899-12-30T00:00:05"/>
    <n v="1.3888888643123209E-3"/>
    <s v="Rahul Goraksha"/>
  </r>
  <r>
    <d v="2026-04-01T00:00:00"/>
    <x v="2"/>
    <x v="5"/>
    <s v="OPQR12"/>
    <d v="2026-04-01T12:19:20"/>
    <d v="2026-04-01T12:19:23"/>
    <d v="1899-12-30T00:00:03"/>
    <n v="8.3333335351198912E-4"/>
    <s v="Rahul Goraksha"/>
  </r>
  <r>
    <d v="2026-04-01T00:00:00"/>
    <x v="2"/>
    <x v="0"/>
    <s v="ABCD12"/>
    <d v="2026-04-01T13:14:47"/>
    <d v="2026-04-01T13:14:57"/>
    <d v="1899-12-30T00:00:10"/>
    <n v="2.7777777286246419E-3"/>
    <s v="Rahul Goraksha"/>
  </r>
  <r>
    <d v="2026-04-02T00:00:00"/>
    <x v="1"/>
    <x v="3"/>
    <s v="ABCD26"/>
    <d v="2026-04-02T09:48:22"/>
    <d v="2026-04-02T09:49:03"/>
    <d v="1899-12-30T00:00:41"/>
    <n v="1.1388888931833208E-2"/>
    <s v="Rahul Goraksh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843A34-51F3-4EC5-836E-0B221E1F6E28}" name="PivotTable3" cacheId="5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gridDropZones="1" multipleFieldFilters="0" chartFormat="2">
  <location ref="B3:F9" firstHeaderRow="1" firstDataRow="2" firstDataCol="2"/>
  <pivotFields count="10">
    <pivotField compact="0" numFmtId="14" outline="0" showAll="0" defaultSubtotal="0"/>
    <pivotField axis="axisRow" compact="0" outline="0" showAll="0" defaultSubtotal="0">
      <items count="4">
        <item sd="0" x="0"/>
        <item sd="0" x="1"/>
        <item sd="0" x="2"/>
        <item sd="0" x="3"/>
      </items>
    </pivotField>
    <pivotField axis="axisRow" compact="0" outline="0" showAll="0" defaultSubtotal="0">
      <items count="7">
        <item x="1"/>
        <item x="2"/>
        <item x="3"/>
        <item x="4"/>
        <item x="0"/>
        <item x="5"/>
        <item x="6"/>
      </items>
    </pivotField>
    <pivotField dataField="1" compact="0" outline="0" showAll="0" defaultSubtotal="0"/>
    <pivotField compact="0" numFmtId="22" outline="0" showAll="0" defaultSubtotal="0"/>
    <pivotField compact="0" numFmtId="22" outline="0" showAll="0" defaultSubtotal="0"/>
    <pivotField compact="0" numFmtId="164" outline="0" showAll="0" defaultSubtotal="0"/>
    <pivotField dataField="1" compact="0" numFmtId="2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1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PNR ID" fld="3" subtotal="count" baseField="0" baseItem="0"/>
    <dataField name="Sum of Decimal_24" fld="7" baseField="0" baseItem="0" numFmtId="2"/>
    <dataField name="Sum of RE" fld="9" baseField="0" baseItem="0" numFmtId="2"/>
  </dataFields>
  <formats count="18">
    <format dxfId="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">
      <pivotArea type="all" dataOnly="0" outline="0" fieldPosition="0"/>
    </format>
    <format dxfId="5">
      <pivotArea outline="0" collapsedLevelsAreSubtotals="1" fieldPosition="0"/>
    </format>
    <format dxfId="6">
      <pivotArea type="origin" dataOnly="0" labelOnly="1" outline="0" fieldPosition="0"/>
    </format>
    <format dxfId="7">
      <pivotArea field="-2" type="button" dataOnly="0" labelOnly="1" outline="0" axis="axisCol" fieldPosition="0"/>
    </format>
    <format dxfId="8">
      <pivotArea type="topRight" dataOnly="0" labelOnly="1" outline="0" fieldPosition="0"/>
    </format>
    <format dxfId="9">
      <pivotArea field="1" type="button" dataOnly="0" labelOnly="1" outline="0" axis="axisRow" fieldPosition="0"/>
    </format>
    <format dxfId="10">
      <pivotArea field="2" type="button" dataOnly="0" labelOnly="1" outline="0" axis="axisRow" fieldPosition="1"/>
    </format>
    <format dxfId="11">
      <pivotArea dataOnly="0" labelOnly="1" outline="0" fieldPosition="0">
        <references count="1">
          <reference field="1" count="0"/>
        </references>
      </pivotArea>
    </format>
    <format dxfId="12">
      <pivotArea dataOnly="0" labelOnly="1" grandRow="1" outline="0" fieldPosition="0"/>
    </format>
    <format dxfId="13">
      <pivotArea dataOnly="0" labelOnly="1" outline="0" fieldPosition="0">
        <references count="2">
          <reference field="1" count="1" selected="0">
            <x v="0"/>
          </reference>
          <reference field="2" count="6">
            <x v="0"/>
            <x v="1"/>
            <x v="2"/>
            <x v="3"/>
            <x v="4"/>
            <x v="5"/>
          </reference>
        </references>
      </pivotArea>
    </format>
    <format dxfId="14">
      <pivotArea dataOnly="0" labelOnly="1" outline="0" fieldPosition="0">
        <references count="2">
          <reference field="1" count="1" selected="0">
            <x v="1"/>
          </reference>
          <reference field="2" count="3">
            <x v="0"/>
            <x v="1"/>
            <x v="2"/>
          </reference>
        </references>
      </pivotArea>
    </format>
    <format dxfId="15">
      <pivotArea dataOnly="0" labelOnly="1" outline="0" fieldPosition="0">
        <references count="2">
          <reference field="1" count="1" selected="0">
            <x v="2"/>
          </reference>
          <reference field="2" count="3">
            <x v="1"/>
            <x v="4"/>
            <x v="5"/>
          </reference>
        </references>
      </pivotArea>
    </format>
    <format dxfId="16">
      <pivotArea dataOnly="0" labelOnly="1" outline="0" fieldPosition="0">
        <references count="2">
          <reference field="1" count="1" selected="0">
            <x v="3"/>
          </reference>
          <reference field="2" count="2">
            <x v="3"/>
            <x v="6"/>
          </reference>
        </references>
      </pivotArea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5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</references>
      </pivotArea>
    </chartFormat>
    <chartFormat chart="1" format="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</references>
      </pivotArea>
    </chartFormat>
    <chartFormat chart="1" format="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</references>
      </pivotArea>
    </chartFormat>
    <chartFormat chart="1" format="7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</references>
      </pivotArea>
    </chartFormat>
    <chartFormat chart="1" format="8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</references>
      </pivotArea>
    </chartFormat>
    <chartFormat chart="1" format="9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</references>
      </pivotArea>
    </chartFormat>
    <chartFormat chart="1" format="11">
      <pivotArea type="data" outline="0" fieldPosition="0">
        <references count="3">
          <reference field="4294967294" count="1" selected="0">
            <x v="2"/>
          </reference>
          <reference field="1" count="1" selected="0">
            <x v="0"/>
          </reference>
          <reference field="2" count="1" selected="0">
            <x v="0"/>
          </reference>
        </references>
      </pivotArea>
    </chartFormat>
    <chartFormat chart="1" format="12">
      <pivotArea type="data" outline="0" fieldPosition="0">
        <references count="3">
          <reference field="4294967294" count="1" selected="0">
            <x v="2"/>
          </reference>
          <reference field="1" count="1" selected="0">
            <x v="0"/>
          </reference>
          <reference field="2" count="1" selected="0">
            <x v="1"/>
          </reference>
        </references>
      </pivotArea>
    </chartFormat>
    <chartFormat chart="1" format="13">
      <pivotArea type="data" outline="0" fieldPosition="0">
        <references count="3">
          <reference field="4294967294" count="1" selected="0">
            <x v="2"/>
          </reference>
          <reference field="1" count="1" selected="0">
            <x v="1"/>
          </reference>
          <reference field="2" count="1" selected="0">
            <x v="2"/>
          </reference>
        </references>
      </pivotArea>
    </chartFormat>
    <chartFormat chart="1" format="1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</references>
      </pivotArea>
    </chartFormat>
    <chartFormat chart="1" format="1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</references>
      </pivotArea>
    </chartFormat>
    <chartFormat chart="1" format="1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</references>
      </pivotArea>
    </chartFormat>
    <chartFormat chart="1" format="1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</references>
      </pivotArea>
    </chartFormat>
    <chartFormat chart="1" format="1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</references>
      </pivotArea>
    </chartFormat>
    <chartFormat chart="1" format="2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</references>
      </pivotArea>
    </chartFormat>
    <chartFormat chart="1" format="2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1" format="2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</references>
      </pivotArea>
    </chartFormat>
    <chartFormat chart="1" format="2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"/>
          </reference>
        </references>
      </pivotArea>
    </chartFormat>
    <chartFormat chart="1" format="2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</references>
      </pivotArea>
    </chartFormat>
    <chartFormat chart="1" format="2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</references>
      </pivotArea>
    </chartFormat>
    <chartFormat chart="1" format="26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</references>
      </pivotArea>
    </chartFormat>
    <chartFormat chart="1" format="27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</references>
      </pivotArea>
    </chartFormat>
    <chartFormat chart="1" format="28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</references>
      </pivotArea>
    </chartFormat>
    <chartFormat chart="1" format="29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</references>
      </pivotArea>
    </chartFormat>
    <chartFormat chart="1" format="30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0"/>
          </reference>
        </references>
      </pivotArea>
    </chartFormat>
    <chartFormat chart="1" format="3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</references>
      </pivotArea>
    </chartFormat>
    <chartFormat chart="1" format="32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1" format="33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2" count="1" selected="0">
            <x v="4"/>
          </reference>
        </references>
      </pivotArea>
    </chartFormat>
    <chartFormat chart="1" format="34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2" count="1" selected="0">
            <x v="5"/>
          </reference>
        </references>
      </pivotArea>
    </chartFormat>
    <chartFormat chart="1" format="35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2" count="1" selected="0">
            <x v="3"/>
          </reference>
        </references>
      </pivotArea>
    </chartFormat>
    <chartFormat chart="1" format="36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2" count="1" selected="0">
            <x v="6"/>
          </reference>
        </references>
      </pivotArea>
    </chartFormat>
    <chartFormat chart="1" format="37">
      <pivotArea type="data" outline="0" fieldPosition="0">
        <references count="3">
          <reference field="4294967294" count="1" selected="0">
            <x v="2"/>
          </reference>
          <reference field="1" count="1" selected="0">
            <x v="0"/>
          </reference>
          <reference field="2" count="1" selected="0">
            <x v="2"/>
          </reference>
        </references>
      </pivotArea>
    </chartFormat>
    <chartFormat chart="1" format="38">
      <pivotArea type="data" outline="0" fieldPosition="0">
        <references count="3">
          <reference field="4294967294" count="1" selected="0">
            <x v="2"/>
          </reference>
          <reference field="1" count="1" selected="0">
            <x v="0"/>
          </reference>
          <reference field="2" count="1" selected="0">
            <x v="3"/>
          </reference>
        </references>
      </pivotArea>
    </chartFormat>
    <chartFormat chart="1" format="39">
      <pivotArea type="data" outline="0" fieldPosition="0">
        <references count="3">
          <reference field="4294967294" count="1" selected="0">
            <x v="2"/>
          </reference>
          <reference field="1" count="1" selected="0">
            <x v="0"/>
          </reference>
          <reference field="2" count="1" selected="0">
            <x v="4"/>
          </reference>
        </references>
      </pivotArea>
    </chartFormat>
    <chartFormat chart="1" format="40">
      <pivotArea type="data" outline="0" fieldPosition="0">
        <references count="3">
          <reference field="4294967294" count="1" selected="0">
            <x v="2"/>
          </reference>
          <reference field="1" count="1" selected="0">
            <x v="0"/>
          </reference>
          <reference field="2" count="1" selected="0">
            <x v="5"/>
          </reference>
        </references>
      </pivotArea>
    </chartFormat>
    <chartFormat chart="1" format="41">
      <pivotArea type="data" outline="0" fieldPosition="0">
        <references count="3">
          <reference field="4294967294" count="1" selected="0">
            <x v="2"/>
          </reference>
          <reference field="1" count="1" selected="0">
            <x v="1"/>
          </reference>
          <reference field="2" count="1" selected="0">
            <x v="0"/>
          </reference>
        </references>
      </pivotArea>
    </chartFormat>
    <chartFormat chart="1" format="42">
      <pivotArea type="data" outline="0" fieldPosition="0">
        <references count="3">
          <reference field="4294967294" count="1" selected="0">
            <x v="2"/>
          </reference>
          <reference field="1" count="1" selected="0">
            <x v="1"/>
          </reference>
          <reference field="2" count="1" selected="0">
            <x v="1"/>
          </reference>
        </references>
      </pivotArea>
    </chartFormat>
    <chartFormat chart="1" format="43">
      <pivotArea type="data" outline="0" fieldPosition="0">
        <references count="3">
          <reference field="4294967294" count="1" selected="0">
            <x v="2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1" format="44">
      <pivotArea type="data" outline="0" fieldPosition="0">
        <references count="3">
          <reference field="4294967294" count="1" selected="0">
            <x v="2"/>
          </reference>
          <reference field="1" count="1" selected="0">
            <x v="2"/>
          </reference>
          <reference field="2" count="1" selected="0">
            <x v="4"/>
          </reference>
        </references>
      </pivotArea>
    </chartFormat>
    <chartFormat chart="1" format="45">
      <pivotArea type="data" outline="0" fieldPosition="0">
        <references count="3">
          <reference field="4294967294" count="1" selected="0">
            <x v="2"/>
          </reference>
          <reference field="1" count="1" selected="0">
            <x v="2"/>
          </reference>
          <reference field="2" count="1" selected="0">
            <x v="5"/>
          </reference>
        </references>
      </pivotArea>
    </chartFormat>
    <chartFormat chart="1" format="46">
      <pivotArea type="data" outline="0" fieldPosition="0">
        <references count="3">
          <reference field="4294967294" count="1" selected="0">
            <x v="2"/>
          </reference>
          <reference field="1" count="1" selected="0">
            <x v="3"/>
          </reference>
          <reference field="2" count="1" selected="0">
            <x v="3"/>
          </reference>
        </references>
      </pivotArea>
    </chartFormat>
    <chartFormat chart="1" format="47">
      <pivotArea type="data" outline="0" fieldPosition="0">
        <references count="3">
          <reference field="4294967294" count="1" selected="0">
            <x v="2"/>
          </reference>
          <reference field="1" count="1" selected="0">
            <x v="3"/>
          </reference>
          <reference field="2" count="1" selected="0">
            <x v="6"/>
          </reference>
        </references>
      </pivotArea>
    </chartFormat>
    <chartFormat chart="1" format="6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6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6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63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64">
      <pivotArea type="data" outline="0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chartFormat>
    <chartFormat chart="1" format="65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1" format="66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1" format="67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1" format="68">
      <pivotArea type="data" outline="0" fieldPosition="0">
        <references count="2">
          <reference field="4294967294" count="1" selected="0">
            <x v="2"/>
          </reference>
          <reference field="1" count="1" selected="0">
            <x v="0"/>
          </reference>
        </references>
      </pivotArea>
    </chartFormat>
    <chartFormat chart="1" format="69">
      <pivotArea type="data" outline="0" fieldPosition="0">
        <references count="2">
          <reference field="4294967294" count="1" selected="0">
            <x v="2"/>
          </reference>
          <reference field="1" count="1" selected="0">
            <x v="1"/>
          </reference>
        </references>
      </pivotArea>
    </chartFormat>
    <chartFormat chart="1" format="70">
      <pivotArea type="data" outline="0" fieldPosition="0">
        <references count="2">
          <reference field="4294967294" count="1" selected="0">
            <x v="2"/>
          </reference>
          <reference field="1" count="1" selected="0">
            <x v="2"/>
          </reference>
        </references>
      </pivotArea>
    </chartFormat>
    <chartFormat chart="1" format="71">
      <pivotArea type="data" outline="0" fieldPosition="0">
        <references count="2">
          <reference field="4294967294" count="1" selected="0">
            <x v="2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tabSelected="1" workbookViewId="0">
      <pane ySplit="1" topLeftCell="A3" activePane="bottomLeft" state="frozen"/>
      <selection pane="bottomLeft" activeCell="F22" sqref="F22"/>
    </sheetView>
  </sheetViews>
  <sheetFormatPr defaultColWidth="13.42578125" defaultRowHeight="14.45"/>
  <cols>
    <col min="1" max="4" width="13.42578125" style="1"/>
    <col min="5" max="5" width="19.42578125" style="1" customWidth="1"/>
    <col min="6" max="6" width="18.85546875" style="1" customWidth="1"/>
    <col min="7" max="7" width="13.42578125" style="9"/>
    <col min="8" max="8" width="13.42578125" style="6"/>
    <col min="9" max="9" width="23.5703125" style="1" customWidth="1"/>
    <col min="10" max="10" width="14.42578125" style="1" customWidth="1"/>
    <col min="11" max="16384" width="13.42578125" style="1"/>
  </cols>
  <sheetData>
    <row r="1" spans="1:9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8" t="s">
        <v>6</v>
      </c>
      <c r="H1" s="7" t="s">
        <v>7</v>
      </c>
      <c r="I1" s="4" t="s">
        <v>8</v>
      </c>
    </row>
    <row r="2" spans="1:9">
      <c r="A2" s="2">
        <v>46114</v>
      </c>
      <c r="B2" s="1" t="s">
        <v>9</v>
      </c>
      <c r="C2" s="1" t="s">
        <v>10</v>
      </c>
      <c r="D2" s="1" t="s">
        <v>11</v>
      </c>
      <c r="E2" s="3">
        <v>46114.349548611113</v>
      </c>
      <c r="F2" s="3">
        <v>46114.349791666667</v>
      </c>
      <c r="G2" s="11">
        <v>2.4305555416503921E-4</v>
      </c>
      <c r="H2" s="6">
        <v>5.8333332999609411E-3</v>
      </c>
      <c r="I2" s="1" t="s">
        <v>12</v>
      </c>
    </row>
    <row r="3" spans="1:9">
      <c r="A3" s="2">
        <v>46114</v>
      </c>
      <c r="B3" s="1" t="s">
        <v>13</v>
      </c>
      <c r="C3" s="1" t="s">
        <v>14</v>
      </c>
      <c r="D3" s="1" t="s">
        <v>11</v>
      </c>
      <c r="E3" s="3">
        <v>46114.350034722222</v>
      </c>
      <c r="F3" s="3">
        <v>46114.350706018522</v>
      </c>
      <c r="G3" s="11">
        <v>6.7129630042472854E-4</v>
      </c>
      <c r="H3" s="6">
        <v>1.6111111210193485E-2</v>
      </c>
      <c r="I3" s="1" t="s">
        <v>12</v>
      </c>
    </row>
    <row r="4" spans="1:9">
      <c r="A4" s="2">
        <v>46114</v>
      </c>
      <c r="B4" s="1" t="s">
        <v>13</v>
      </c>
      <c r="C4" s="1" t="s">
        <v>15</v>
      </c>
      <c r="D4" s="1" t="s">
        <v>11</v>
      </c>
      <c r="E4" s="3">
        <v>46114.350949074076</v>
      </c>
      <c r="F4" s="3">
        <v>46114.35119212963</v>
      </c>
      <c r="G4" s="11">
        <v>2.4305555416503921E-4</v>
      </c>
      <c r="H4" s="6">
        <v>5.8333332999609411E-3</v>
      </c>
      <c r="I4" s="1" t="s">
        <v>12</v>
      </c>
    </row>
    <row r="5" spans="1:9">
      <c r="A5" s="2">
        <v>46114</v>
      </c>
      <c r="B5" s="1" t="s">
        <v>16</v>
      </c>
      <c r="C5" s="1" t="s">
        <v>15</v>
      </c>
      <c r="D5" s="1" t="s">
        <v>11</v>
      </c>
      <c r="E5" s="3">
        <v>46114.351863425924</v>
      </c>
      <c r="F5" s="3">
        <v>46114.352094907408</v>
      </c>
      <c r="G5" s="11">
        <v>2.3148148466134444E-4</v>
      </c>
      <c r="H5" s="6">
        <v>5.5555556318722665E-3</v>
      </c>
      <c r="I5" s="1" t="s">
        <v>12</v>
      </c>
    </row>
    <row r="6" spans="1:9">
      <c r="A6" s="2">
        <v>46114</v>
      </c>
      <c r="B6" s="1" t="s">
        <v>9</v>
      </c>
      <c r="C6" s="1" t="s">
        <v>17</v>
      </c>
      <c r="D6" s="1" t="s">
        <v>11</v>
      </c>
      <c r="E6" s="3">
        <v>46114.353101851855</v>
      </c>
      <c r="F6" s="3">
        <v>46114.353333333333</v>
      </c>
      <c r="G6" s="11">
        <v>2.3148147738538682E-4</v>
      </c>
      <c r="H6" s="6">
        <v>5.5555554572492838E-3</v>
      </c>
      <c r="I6" s="1" t="s">
        <v>12</v>
      </c>
    </row>
    <row r="7" spans="1:9">
      <c r="A7" s="2">
        <v>46114</v>
      </c>
      <c r="B7" s="1" t="s">
        <v>9</v>
      </c>
      <c r="C7" s="1" t="s">
        <v>18</v>
      </c>
      <c r="D7" s="1" t="s">
        <v>11</v>
      </c>
      <c r="E7" s="3">
        <v>46114.353692129633</v>
      </c>
      <c r="F7" s="3">
        <v>46114.360405092593</v>
      </c>
      <c r="G7" s="11">
        <v>6.7129629605915397E-3</v>
      </c>
      <c r="H7" s="6">
        <v>0.16111111105419695</v>
      </c>
      <c r="I7" s="1" t="s">
        <v>12</v>
      </c>
    </row>
    <row r="8" spans="1:9">
      <c r="A8" s="2">
        <v>46114</v>
      </c>
      <c r="B8" s="1" t="s">
        <v>9</v>
      </c>
      <c r="C8" s="1" t="s">
        <v>19</v>
      </c>
      <c r="D8" s="1" t="s">
        <v>11</v>
      </c>
      <c r="E8" s="3">
        <v>46114.360578703701</v>
      </c>
      <c r="F8" s="3">
        <v>46114.361157407409</v>
      </c>
      <c r="G8" s="11">
        <v>5.7870370801538229E-4</v>
      </c>
      <c r="H8" s="6">
        <v>1.3888888992369175E-2</v>
      </c>
      <c r="I8" s="1" t="s">
        <v>12</v>
      </c>
    </row>
    <row r="9" spans="1:9">
      <c r="A9" s="2">
        <v>46114</v>
      </c>
      <c r="B9" s="1" t="s">
        <v>16</v>
      </c>
      <c r="C9" s="1" t="s">
        <v>10</v>
      </c>
      <c r="D9" s="1" t="s">
        <v>11</v>
      </c>
      <c r="E9" s="3">
        <v>46114.36141203704</v>
      </c>
      <c r="F9" s="3">
        <v>46114.36215277778</v>
      </c>
      <c r="G9" s="11">
        <v>7.4074073927477002E-4</v>
      </c>
      <c r="H9" s="6">
        <v>1.7777777742594481E-2</v>
      </c>
      <c r="I9" s="1" t="s">
        <v>12</v>
      </c>
    </row>
    <row r="10" spans="1:9">
      <c r="A10" s="2">
        <v>46098</v>
      </c>
      <c r="B10" s="1" t="s">
        <v>9</v>
      </c>
      <c r="C10" s="1" t="s">
        <v>15</v>
      </c>
      <c r="D10" s="1" t="s">
        <v>20</v>
      </c>
      <c r="E10" s="3">
        <v>46098.543611111112</v>
      </c>
      <c r="F10" s="3">
        <v>46098.543692129628</v>
      </c>
      <c r="G10" s="11">
        <v>8.1018515629693866E-5</v>
      </c>
      <c r="H10" s="6">
        <v>1.9444443751126528E-3</v>
      </c>
      <c r="I10" s="1" t="s">
        <v>12</v>
      </c>
    </row>
    <row r="11" spans="1:9">
      <c r="A11" s="2">
        <v>46098</v>
      </c>
      <c r="B11" s="1" t="s">
        <v>9</v>
      </c>
      <c r="C11" s="1" t="s">
        <v>15</v>
      </c>
      <c r="D11" s="1" t="s">
        <v>21</v>
      </c>
      <c r="E11" s="3">
        <v>46098.550567129627</v>
      </c>
      <c r="F11" s="3">
        <v>46098.55060185185</v>
      </c>
      <c r="G11" s="11">
        <v>3.4722223062999547E-5</v>
      </c>
      <c r="H11" s="6">
        <v>8.3333335351198912E-4</v>
      </c>
      <c r="I11" s="1" t="s">
        <v>12</v>
      </c>
    </row>
    <row r="12" spans="1:9">
      <c r="A12" s="2">
        <v>46098</v>
      </c>
      <c r="B12" s="1" t="s">
        <v>9</v>
      </c>
      <c r="C12" s="1" t="s">
        <v>15</v>
      </c>
      <c r="D12" s="1" t="s">
        <v>22</v>
      </c>
      <c r="E12" s="3">
        <v>46098.569606481484</v>
      </c>
      <c r="F12" s="3">
        <v>46098.573912037034</v>
      </c>
      <c r="G12" s="11">
        <v>4.3055555506725796E-3</v>
      </c>
      <c r="H12" s="6">
        <v>0.10333333321614191</v>
      </c>
      <c r="I12" s="1" t="s">
        <v>12</v>
      </c>
    </row>
    <row r="13" spans="1:9">
      <c r="A13" s="2">
        <v>46098</v>
      </c>
      <c r="B13" s="1" t="s">
        <v>9</v>
      </c>
      <c r="C13" s="1" t="s">
        <v>14</v>
      </c>
      <c r="D13" s="1" t="s">
        <v>22</v>
      </c>
      <c r="E13" s="3">
        <v>46098.573240740741</v>
      </c>
      <c r="F13" s="3">
        <v>46098.5781712963</v>
      </c>
      <c r="G13" s="11">
        <v>4.9305555585306138E-3</v>
      </c>
      <c r="H13" s="6">
        <v>0.11833333340473473</v>
      </c>
      <c r="I13" s="1" t="s">
        <v>12</v>
      </c>
    </row>
    <row r="14" spans="1:9">
      <c r="A14" s="2">
        <v>46098</v>
      </c>
      <c r="B14" s="1" t="s">
        <v>23</v>
      </c>
      <c r="C14" s="1" t="s">
        <v>18</v>
      </c>
      <c r="D14" s="1" t="s">
        <v>21</v>
      </c>
      <c r="E14" s="3">
        <v>46098.583391203705</v>
      </c>
      <c r="F14" s="3">
        <v>46098.584467592591</v>
      </c>
      <c r="G14" s="11">
        <v>1.0763888858491555E-3</v>
      </c>
      <c r="H14" s="6">
        <v>2.5833333260379732E-2</v>
      </c>
      <c r="I14" s="1" t="s">
        <v>12</v>
      </c>
    </row>
    <row r="15" spans="1:9">
      <c r="A15" s="2">
        <v>46098</v>
      </c>
      <c r="B15" s="1" t="s">
        <v>23</v>
      </c>
      <c r="C15" s="1" t="s">
        <v>18</v>
      </c>
      <c r="D15" s="1" t="s">
        <v>11</v>
      </c>
      <c r="E15" s="3">
        <v>46098.586898148147</v>
      </c>
      <c r="F15" s="3">
        <v>46098.587071759262</v>
      </c>
      <c r="G15" s="11">
        <v>1.7361111531499773E-4</v>
      </c>
      <c r="H15" s="6">
        <v>4.1666667675599456E-3</v>
      </c>
      <c r="I15" s="1" t="s">
        <v>12</v>
      </c>
    </row>
    <row r="16" spans="1:9">
      <c r="A16" s="2">
        <v>46098</v>
      </c>
      <c r="B16" s="1" t="s">
        <v>23</v>
      </c>
      <c r="C16" s="1" t="s">
        <v>18</v>
      </c>
      <c r="D16" s="1" t="s">
        <v>24</v>
      </c>
      <c r="E16" s="3">
        <v>46098.887002314812</v>
      </c>
      <c r="F16" s="3">
        <v>46098.887071759258</v>
      </c>
      <c r="G16" s="11">
        <v>6.9444446125999093E-5</v>
      </c>
      <c r="H16" s="6">
        <v>1.6666667070239782E-3</v>
      </c>
      <c r="I16" s="1" t="s">
        <v>12</v>
      </c>
    </row>
    <row r="17" spans="1:9">
      <c r="A17" s="2">
        <v>46098</v>
      </c>
      <c r="B17" s="1" t="s">
        <v>13</v>
      </c>
      <c r="C17" s="1" t="s">
        <v>17</v>
      </c>
      <c r="D17" s="1" t="s">
        <v>11</v>
      </c>
      <c r="E17" s="3">
        <v>46098.891736111109</v>
      </c>
      <c r="F17" s="3">
        <v>46099.665682870371</v>
      </c>
      <c r="G17" s="11">
        <v>0.77394675926188938</v>
      </c>
      <c r="H17" s="6">
        <v>18.574722222285345</v>
      </c>
      <c r="I17" s="1" t="s">
        <v>12</v>
      </c>
    </row>
    <row r="18" spans="1:9">
      <c r="A18" s="2">
        <v>46104</v>
      </c>
      <c r="B18" s="1" t="s">
        <v>13</v>
      </c>
      <c r="C18" s="1" t="s">
        <v>17</v>
      </c>
      <c r="D18" s="1" t="s">
        <v>25</v>
      </c>
      <c r="E18" s="3">
        <v>46104.406527777777</v>
      </c>
      <c r="F18" s="3">
        <v>46104.640775462962</v>
      </c>
      <c r="G18" s="11">
        <v>0.23424768518452765</v>
      </c>
      <c r="H18" s="6">
        <v>5.6219444444286637</v>
      </c>
      <c r="I18" s="1" t="s">
        <v>12</v>
      </c>
    </row>
    <row r="19" spans="1:9">
      <c r="A19" s="2">
        <v>46104</v>
      </c>
      <c r="B19" s="1" t="s">
        <v>13</v>
      </c>
      <c r="C19" s="1" t="s">
        <v>17</v>
      </c>
      <c r="D19" s="1" t="s">
        <v>26</v>
      </c>
      <c r="E19" s="3">
        <v>46104.641099537039</v>
      </c>
      <c r="F19" s="3">
        <v>46104.645925925928</v>
      </c>
      <c r="G19" s="11">
        <v>4.8263888893416151E-3</v>
      </c>
      <c r="H19" s="6">
        <v>0.11583333334419876</v>
      </c>
      <c r="I19" s="1" t="s">
        <v>12</v>
      </c>
    </row>
    <row r="20" spans="1:9">
      <c r="A20" s="2">
        <v>46113</v>
      </c>
      <c r="B20" s="1" t="s">
        <v>23</v>
      </c>
      <c r="C20" s="1" t="s">
        <v>27</v>
      </c>
      <c r="D20" s="1" t="s">
        <v>28</v>
      </c>
      <c r="E20" s="3">
        <v>46113.513020833336</v>
      </c>
      <c r="F20" s="3">
        <v>46113.513078703705</v>
      </c>
      <c r="G20" s="11">
        <v>5.7870369346346706E-5</v>
      </c>
      <c r="H20" s="6">
        <v>1.3888888643123209E-3</v>
      </c>
      <c r="I20" s="1" t="s">
        <v>12</v>
      </c>
    </row>
    <row r="21" spans="1:9">
      <c r="A21" s="2">
        <v>46113</v>
      </c>
      <c r="B21" s="1" t="s">
        <v>16</v>
      </c>
      <c r="C21" s="1" t="s">
        <v>19</v>
      </c>
      <c r="D21" s="1" t="s">
        <v>29</v>
      </c>
      <c r="E21" s="3">
        <v>46113.513425925928</v>
      </c>
      <c r="F21" s="3">
        <v>46113.513460648152</v>
      </c>
      <c r="G21" s="11">
        <v>3.4722223062999547E-5</v>
      </c>
      <c r="H21" s="6">
        <v>8.3333335351198912E-4</v>
      </c>
      <c r="I21" s="1" t="s">
        <v>12</v>
      </c>
    </row>
    <row r="22" spans="1:9">
      <c r="A22" s="2">
        <v>46113</v>
      </c>
      <c r="B22" s="1" t="s">
        <v>16</v>
      </c>
      <c r="C22" s="1" t="s">
        <v>10</v>
      </c>
      <c r="D22" s="1" t="s">
        <v>11</v>
      </c>
      <c r="E22" s="3">
        <v>46113.551932870374</v>
      </c>
      <c r="F22" s="3">
        <v>46113.552048611113</v>
      </c>
      <c r="G22" s="11">
        <v>1.1574073869269341E-4</v>
      </c>
      <c r="H22" s="6">
        <v>2.7777777286246419E-3</v>
      </c>
      <c r="I22" s="1" t="s">
        <v>12</v>
      </c>
    </row>
    <row r="23" spans="1:9">
      <c r="A23" s="2">
        <v>46114</v>
      </c>
      <c r="B23" s="1" t="s">
        <v>13</v>
      </c>
      <c r="C23" s="1" t="s">
        <v>17</v>
      </c>
      <c r="D23" s="1" t="s">
        <v>30</v>
      </c>
      <c r="E23" s="3">
        <v>46114.408587962964</v>
      </c>
      <c r="F23" s="3">
        <v>46114.409062500003</v>
      </c>
      <c r="G23" s="11">
        <v>4.7453703882638365E-4</v>
      </c>
      <c r="H23" s="6">
        <v>1.1388888931833208E-2</v>
      </c>
      <c r="I23" s="1" t="s">
        <v>12</v>
      </c>
    </row>
    <row r="24" spans="1:9">
      <c r="A24" s="2">
        <v>46114</v>
      </c>
      <c r="B24" s="1" t="s">
        <v>23</v>
      </c>
      <c r="C24" s="1" t="s">
        <v>31</v>
      </c>
      <c r="D24" s="1" t="s">
        <v>22</v>
      </c>
      <c r="E24" s="3">
        <v>46114.413611111115</v>
      </c>
      <c r="F24" s="3">
        <v>46114.413969907408</v>
      </c>
      <c r="G24" s="11">
        <v>3.5879629285773262E-4</v>
      </c>
      <c r="H24" s="6">
        <v>8.611111028585583E-3</v>
      </c>
      <c r="I24" s="1" t="s"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ptureAllUserPNRData_Final">
                <anchor moveWithCells="1" sizeWithCells="1">
                  <from>
                    <xdr:col>9</xdr:col>
                    <xdr:colOff>12700</xdr:colOff>
                    <xdr:row>0</xdr:row>
                    <xdr:rowOff>12700</xdr:rowOff>
                  </from>
                  <to>
                    <xdr:col>10</xdr:col>
                    <xdr:colOff>0</xdr:colOff>
                    <xdr:row>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55A6E-44A6-4CE2-9EC1-ED6B1E7D7B14}">
  <sheetPr codeName="Sheet2"/>
  <dimension ref="B3:F19"/>
  <sheetViews>
    <sheetView zoomScale="92" workbookViewId="0">
      <selection activeCell="D18" sqref="D18"/>
    </sheetView>
  </sheetViews>
  <sheetFormatPr defaultColWidth="8.7109375" defaultRowHeight="14.45"/>
  <cols>
    <col min="1" max="1" width="8.7109375" style="1"/>
    <col min="2" max="2" width="13" style="1" bestFit="1" customWidth="1"/>
    <col min="3" max="3" width="11.42578125" style="1" bestFit="1" customWidth="1"/>
    <col min="4" max="4" width="14.42578125" style="6" bestFit="1" customWidth="1"/>
    <col min="5" max="5" width="16.85546875" style="6" bestFit="1" customWidth="1"/>
    <col min="6" max="6" width="9.140625" style="1" bestFit="1" customWidth="1"/>
    <col min="7" max="11" width="8.7109375" style="1"/>
    <col min="12" max="12" width="11.140625" style="1" bestFit="1" customWidth="1"/>
    <col min="13" max="13" width="8.7109375" style="1"/>
    <col min="14" max="14" width="21.7109375" style="1" customWidth="1"/>
    <col min="15" max="15" width="23.5703125" style="1" customWidth="1"/>
    <col min="16" max="16" width="17.28515625" style="1" customWidth="1"/>
    <col min="17" max="16384" width="8.7109375" style="1"/>
  </cols>
  <sheetData>
    <row r="3" spans="2:6">
      <c r="D3" s="12" t="s">
        <v>32</v>
      </c>
      <c r="E3" s="1"/>
    </row>
    <row r="4" spans="2:6">
      <c r="B4" s="12" t="s">
        <v>1</v>
      </c>
      <c r="C4" s="12" t="s">
        <v>2</v>
      </c>
      <c r="D4" s="1" t="s">
        <v>33</v>
      </c>
      <c r="E4" s="6" t="s">
        <v>34</v>
      </c>
      <c r="F4" s="6" t="s">
        <v>35</v>
      </c>
    </row>
    <row r="5" spans="2:6">
      <c r="B5" s="1" t="s">
        <v>9</v>
      </c>
      <c r="D5" s="1">
        <v>8</v>
      </c>
      <c r="E5" s="6">
        <v>0.41083333315327764</v>
      </c>
      <c r="F5" s="6">
        <v>2.4340770801742866</v>
      </c>
    </row>
    <row r="6" spans="2:6">
      <c r="B6" s="1" t="s">
        <v>13</v>
      </c>
      <c r="D6" s="1">
        <v>6</v>
      </c>
      <c r="E6" s="6">
        <v>24.345833333500195</v>
      </c>
      <c r="F6" s="6">
        <v>4.1074790347142752E-2</v>
      </c>
    </row>
    <row r="7" spans="2:6">
      <c r="B7" s="1" t="s">
        <v>16</v>
      </c>
      <c r="D7" s="1">
        <v>4</v>
      </c>
      <c r="E7" s="6">
        <v>2.6944444456603378E-2</v>
      </c>
      <c r="F7" s="6">
        <v>37.113402045107897</v>
      </c>
    </row>
    <row r="8" spans="2:6">
      <c r="B8" s="1" t="s">
        <v>23</v>
      </c>
      <c r="D8" s="1">
        <v>4</v>
      </c>
      <c r="E8" s="6">
        <v>3.3055555599275976E-2</v>
      </c>
      <c r="F8" s="6">
        <v>30.25210080032366</v>
      </c>
    </row>
    <row r="9" spans="2:6">
      <c r="B9" s="1" t="s">
        <v>36</v>
      </c>
      <c r="D9" s="1">
        <v>22</v>
      </c>
      <c r="E9" s="6">
        <v>24.816666666709352</v>
      </c>
      <c r="F9" s="6">
        <v>4.0295500335726528E-2</v>
      </c>
    </row>
    <row r="10" spans="2:6">
      <c r="B10"/>
      <c r="C10"/>
      <c r="D10"/>
      <c r="E10"/>
      <c r="F10"/>
    </row>
    <row r="11" spans="2:6">
      <c r="B11"/>
      <c r="C11"/>
      <c r="D11"/>
      <c r="E11"/>
      <c r="F11"/>
    </row>
    <row r="12" spans="2:6">
      <c r="B12"/>
      <c r="C12"/>
      <c r="D12"/>
      <c r="E12"/>
      <c r="F12"/>
    </row>
    <row r="13" spans="2:6">
      <c r="B13"/>
      <c r="C13"/>
      <c r="D13"/>
      <c r="E13"/>
      <c r="F13"/>
    </row>
    <row r="14" spans="2:6">
      <c r="B14"/>
      <c r="C14"/>
      <c r="D14"/>
      <c r="E14"/>
      <c r="F14"/>
    </row>
    <row r="15" spans="2:6">
      <c r="B15"/>
      <c r="C15"/>
      <c r="D15"/>
      <c r="E15"/>
      <c r="F15"/>
    </row>
    <row r="16" spans="2:6">
      <c r="B16"/>
      <c r="C16"/>
      <c r="D16"/>
      <c r="E16"/>
      <c r="F16"/>
    </row>
    <row r="17" spans="2:6">
      <c r="B17"/>
      <c r="C17"/>
      <c r="D17"/>
      <c r="E17"/>
      <c r="F17"/>
    </row>
    <row r="18" spans="2:6">
      <c r="B18"/>
      <c r="C18"/>
      <c r="D18"/>
      <c r="E18"/>
      <c r="F18"/>
    </row>
    <row r="19" spans="2:6">
      <c r="B19"/>
      <c r="C19"/>
      <c r="D19"/>
      <c r="E19"/>
      <c r="F19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1531A-7D66-49B2-99C9-E5A58652CF0A}">
  <sheetPr codeName="Sheet8"/>
  <dimension ref="B2:E17"/>
  <sheetViews>
    <sheetView workbookViewId="0">
      <selection activeCell="I8" sqref="I8"/>
    </sheetView>
  </sheetViews>
  <sheetFormatPr defaultColWidth="15.5703125" defaultRowHeight="14.45"/>
  <sheetData>
    <row r="2" spans="2:5">
      <c r="C2" t="s">
        <v>32</v>
      </c>
    </row>
    <row r="3" spans="2:5">
      <c r="B3" s="10" t="s">
        <v>1</v>
      </c>
      <c r="C3" s="10" t="s">
        <v>33</v>
      </c>
      <c r="D3" s="10" t="s">
        <v>34</v>
      </c>
      <c r="E3" s="10" t="s">
        <v>37</v>
      </c>
    </row>
    <row r="4" spans="2:5">
      <c r="B4" s="6" t="s">
        <v>9</v>
      </c>
      <c r="C4" s="6">
        <v>8</v>
      </c>
      <c r="D4" s="6">
        <v>0.41083333315327764</v>
      </c>
      <c r="E4" s="6">
        <f>C4/D4</f>
        <v>19.472616641394293</v>
      </c>
    </row>
    <row r="5" spans="2:5">
      <c r="B5" s="6" t="s">
        <v>13</v>
      </c>
      <c r="C5" s="6">
        <v>6</v>
      </c>
      <c r="D5" s="6">
        <v>24.345833333500195</v>
      </c>
      <c r="E5" s="6">
        <f t="shared" ref="E5:E7" si="0">C5/D5</f>
        <v>0.2464487420828565</v>
      </c>
    </row>
    <row r="6" spans="2:5">
      <c r="B6" s="6" t="s">
        <v>16</v>
      </c>
      <c r="C6" s="6">
        <v>4</v>
      </c>
      <c r="D6" s="6">
        <v>2.6944444456603378E-2</v>
      </c>
      <c r="E6" s="6">
        <f t="shared" si="0"/>
        <v>148.45360818043159</v>
      </c>
    </row>
    <row r="7" spans="2:5">
      <c r="B7" s="6" t="s">
        <v>23</v>
      </c>
      <c r="C7" s="6">
        <v>4</v>
      </c>
      <c r="D7" s="6">
        <v>3.3055555599275976E-2</v>
      </c>
      <c r="E7" s="6">
        <f t="shared" si="0"/>
        <v>121.00840320129464</v>
      </c>
    </row>
    <row r="8" spans="2:5">
      <c r="B8" s="10" t="s">
        <v>36</v>
      </c>
      <c r="C8" s="10">
        <f>SUM(C4:C7)</f>
        <v>22</v>
      </c>
      <c r="D8" s="10">
        <f>SUM(D4:D7)</f>
        <v>24.816666666709352</v>
      </c>
      <c r="E8" s="10">
        <f>SUM(E4:E7)</f>
        <v>289.18107676520339</v>
      </c>
    </row>
    <row r="17" spans="3:3">
      <c r="C1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Rahul Goraksha</dc:creator>
  <cp:keywords/>
  <dc:description/>
  <cp:lastModifiedBy>Rahul Goraksha</cp:lastModifiedBy>
  <cp:revision/>
  <dcterms:created xsi:type="dcterms:W3CDTF">2015-06-05T18:17:20Z</dcterms:created>
  <dcterms:modified xsi:type="dcterms:W3CDTF">2026-04-02T06:08:23Z</dcterms:modified>
  <cp:category/>
  <cp:contentStatus/>
</cp:coreProperties>
</file>