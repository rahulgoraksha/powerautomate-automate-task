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1B801B8-600B-496E-B4AE-7267CD51ADD0}" xr6:coauthVersionLast="47" xr6:coauthVersionMax="47" xr10:uidLastSave="{00000000-0000-0000-0000-000000000000}"/>
  <bookViews>
    <workbookView xWindow="0" yWindow="0" windowWidth="28800" windowHeight="13905" firstSheet="1" activeTab="1" xr2:uid="{00000000-000D-0000-FFFF-FFFF00000000}"/>
  </bookViews>
  <sheets>
    <sheet name="Form Data" sheetId="1" r:id="rId1"/>
    <sheet name="MIS" sheetId="2" r:id="rId2"/>
  </sheets>
  <calcPr calcId="191028"/>
  <pivotCaches>
    <pivotCache cacheId="13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<sst xmlns="http://schemas.openxmlformats.org/spreadsheetml/2006/main" count="143" uniqueCount="59">
  <si>
    <t>Id</t>
  </si>
  <si>
    <t>Start time</t>
  </si>
  <si>
    <t>Completion time</t>
  </si>
  <si>
    <t>Email</t>
  </si>
  <si>
    <t>Name</t>
  </si>
  <si>
    <t>Result</t>
  </si>
  <si>
    <t>Total points</t>
  </si>
  <si>
    <t>Quiz feedback</t>
  </si>
  <si>
    <t>Grade posted time</t>
  </si>
  <si>
    <t>Cathay ID</t>
  </si>
  <si>
    <t>Points - Cathay ID</t>
  </si>
  <si>
    <t>Feedback - Cathay ID</t>
  </si>
  <si>
    <t>Department</t>
  </si>
  <si>
    <t>Points - Department</t>
  </si>
  <si>
    <t>Feedback - Department</t>
  </si>
  <si>
    <t>Cathay ID is the preferred term over GalaCXy ID</t>
  </si>
  <si>
    <t>Points - Cathay ID is the preferred term over GalaCXy ID</t>
  </si>
  <si>
    <t>Feedback - Cathay ID is the preferred term over GalaCXy ID</t>
  </si>
  <si>
    <t xml:space="preserve">'Pax' is acceptable in internal emails as long as everyone understands it.
</t>
  </si>
  <si>
    <t xml:space="preserve">Points - 'Pax' is acceptable in internal emails as long as everyone understands it.
</t>
  </si>
  <si>
    <t xml:space="preserve">Feedback - 'Pax' is acceptable in internal emails as long as everyone understands it.
</t>
  </si>
  <si>
    <t>It is incorrect to refer to Cathay employees as 'staff' in any kind of communication</t>
  </si>
  <si>
    <t>Points - It is incorrect to refer to Cathay employees as 'staff' in any kind of communication</t>
  </si>
  <si>
    <t>Feedback - It is incorrect to refer to Cathay employees as 'staff' in any kind of communication</t>
  </si>
  <si>
    <t>'Connaught Network Services Private Limited' should be referred to as MSC</t>
  </si>
  <si>
    <t>Points - 'Connaught Network Services Private Limited' should be referred to as MSC</t>
  </si>
  <si>
    <t>Feedback - 'Connaught Network Services Private Limited' should be referred to as MSC</t>
  </si>
  <si>
    <t>'Outport' is the preferred term for regions outside the HUB</t>
  </si>
  <si>
    <t>Points - 'Outport' is the preferred term for regions outside the HUB</t>
  </si>
  <si>
    <t>Feedback - 'Outport' is the preferred term for regions outside the HUB</t>
  </si>
  <si>
    <t xml:space="preserve">Guest or client is the right term to refer to people who use our services outside of the airport e.g. , holiday, shop or ship their cargo with us.
</t>
  </si>
  <si>
    <t xml:space="preserve">Points - Guest or client is the right term to refer to people who use our services outside of the airport e.g. , holiday, shop or ship their cargo with us.
</t>
  </si>
  <si>
    <t xml:space="preserve">Feedback - Guest or client is the right term to refer to people who use our services outside of the airport e.g. , holiday, shop or ship their cargo with us.
</t>
  </si>
  <si>
    <t>v027rag@cathaypacific.com</t>
  </si>
  <si>
    <t>Rahul Goraksha</t>
  </si>
  <si>
    <t>test</t>
  </si>
  <si>
    <t>PRT</t>
  </si>
  <si>
    <t>True</t>
  </si>
  <si>
    <t>False</t>
  </si>
  <si>
    <t>admin</t>
  </si>
  <si>
    <t>FLTB</t>
  </si>
  <si>
    <t>Cello</t>
  </si>
  <si>
    <t>DCQ</t>
  </si>
  <si>
    <t>Max</t>
  </si>
  <si>
    <t>SSR</t>
  </si>
  <si>
    <t>XAT</t>
  </si>
  <si>
    <t>QC</t>
  </si>
  <si>
    <t>lydia_carneiro@cathaypacific.com</t>
  </si>
  <si>
    <t>Lydia Carneiro</t>
  </si>
  <si>
    <t>cpplydc</t>
  </si>
  <si>
    <t>ACQ  &amp; CHL</t>
  </si>
  <si>
    <t>console</t>
  </si>
  <si>
    <t>rover</t>
  </si>
  <si>
    <t>Names</t>
  </si>
  <si>
    <t>Average of Total points</t>
  </si>
  <si>
    <t>Count of Result</t>
  </si>
  <si>
    <t>Fail</t>
  </si>
  <si>
    <t>Pass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</si>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</sst>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49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2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[Cathay Terminology Quiz - Round 2.xlsx]MIS!PivotTable2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Pass V/s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44-4560-AEAA-1C256F870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42-4D2F-95B4-EF8410D2CA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MIS!$G$3:$G$5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MIS!$H$3:$H$5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59C-B16D-F773DF96F8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104775</xdr:rowOff>
    </xdr:from>
    <xdr:to>
      <xdr:col>16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E854D-A377-C959-20C4-735DD4C17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2.539409259261" createdVersion="8" refreshedVersion="8" minRefreshableVersion="3" recordCount="8" xr:uid="{A682BD1F-13D0-46E9-83F7-06A1299F9A6D}">
  <cacheSource type="worksheet">
    <worksheetSource name="OfficeForms.Table"/>
  </cacheSource>
  <cacheFields count="33">
    <cacheField name="Id" numFmtId="0">
      <sharedItems containsSemiMixedTypes="0" containsString="0" containsNumber="1" containsInteger="1" minValue="8" maxValue="15"/>
    </cacheField>
    <cacheField name="Start time" numFmtId="22">
      <sharedItems containsSemiMixedTypes="0" containsNonDate="0" containsDate="1" containsString="0" minDate="2026-04-10T11:21:50" maxDate="2026-04-10T12:55:17"/>
    </cacheField>
    <cacheField name="Completion time" numFmtId="22">
      <sharedItems containsSemiMixedTypes="0" containsNonDate="0" containsDate="1" containsString="0" minDate="2026-04-10T11:22:48" maxDate="2026-04-10T12:55:42"/>
    </cacheField>
    <cacheField name="Email" numFmtId="49">
      <sharedItems/>
    </cacheField>
    <cacheField name="Name" numFmtId="49">
      <sharedItems count="2">
        <s v="Rahul Goraksha"/>
        <s v="Lydia Carneiro"/>
      </sharedItems>
    </cacheField>
    <cacheField name="Result" numFmtId="0">
      <sharedItems count="2">
        <s v="Pass"/>
        <s v="Fail"/>
      </sharedItems>
    </cacheField>
    <cacheField name="Total points" numFmtId="0">
      <sharedItems containsSemiMixedTypes="0" containsString="0" containsNumber="1" containsInteger="1" minValue="2" maxValue="5"/>
    </cacheField>
    <cacheField name="Quiz feedback" numFmtId="49">
      <sharedItems containsNonDate="0" containsString="0" containsBlank="1"/>
    </cacheField>
    <cacheField name="Grade posted time" numFmtId="22">
      <sharedItems containsNonDate="0" containsString="0" containsBlank="1"/>
    </cacheField>
    <cacheField name="Cathay ID" numFmtId="49">
      <sharedItems/>
    </cacheField>
    <cacheField name="Points - Cathay ID" numFmtId="0">
      <sharedItems containsNonDate="0" containsString="0" containsBlank="1"/>
    </cacheField>
    <cacheField name="Feedback - Cathay ID" numFmtId="49">
      <sharedItems containsNonDate="0" containsString="0" containsBlank="1"/>
    </cacheField>
    <cacheField name="Department" numFmtId="49">
      <sharedItems count="9">
        <s v="PRT"/>
        <s v="FLTB"/>
        <s v="DCQ"/>
        <s v="SSR"/>
        <s v="QC"/>
        <s v="ACQ  &amp; CHL"/>
        <s v="IT" u="1"/>
        <s v="Fares" u="1"/>
        <s v="DOWNLINE" u="1"/>
      </sharedItems>
    </cacheField>
    <cacheField name="Points - Department" numFmtId="0">
      <sharedItems containsNonDate="0" containsString="0" containsBlank="1"/>
    </cacheField>
    <cacheField name="Feedback - Department" numFmtId="49">
      <sharedItems containsNonDate="0" containsString="0" containsBlank="1"/>
    </cacheField>
    <cacheField name="Cathay ID is the preferred term over GalaCXy ID" numFmtId="49">
      <sharedItems/>
    </cacheField>
    <cacheField name="Points - Cathay ID is the preferred term over GalaCXy ID" numFmtId="0">
      <sharedItems containsSemiMixedTypes="0" containsString="0" containsNumber="1" containsInteger="1" minValue="0" maxValue="5"/>
    </cacheField>
    <cacheField name="Feedback - Cathay ID is the preferred term over GalaCXy ID" numFmtId="49">
      <sharedItems containsNonDate="0" containsString="0" containsBlank="1"/>
    </cacheField>
    <cacheField name="'Pax' is acceptable in internal emails as long as everyone understands it._x000a_" numFmtId="49">
      <sharedItems/>
    </cacheField>
    <cacheField name="Points - 'Pax' is acceptable in internal emails as long as everyone understands it._x000a_" numFmtId="0">
      <sharedItems containsSemiMixedTypes="0" containsString="0" containsNumber="1" containsInteger="1" minValue="0" maxValue="1"/>
    </cacheField>
    <cacheField name="Feedback - 'Pax' is acceptable in internal emails as long as everyone understands it._x000a_" numFmtId="49">
      <sharedItems containsNonDate="0" containsString="0" containsBlank="1"/>
    </cacheField>
    <cacheField name="It is incorrect to refer to Cathay employees as 'staff' in any kind of communication" numFmtId="49">
      <sharedItems/>
    </cacheField>
    <cacheField name="Points - It is incorrect to refer to Cathay employees as 'staff' in any kind of communication" numFmtId="0">
      <sharedItems containsSemiMixedTypes="0" containsString="0" containsNumber="1" containsInteger="1" minValue="0" maxValue="1"/>
    </cacheField>
    <cacheField name="Feedback - It is incorrect to refer to Cathay employees as 'staff' in any kind of communication" numFmtId="49">
      <sharedItems containsNonDate="0" containsString="0" containsBlank="1"/>
    </cacheField>
    <cacheField name="'Connaught Network Services Private Limited' should be referred to as MSC" numFmtId="49">
      <sharedItems/>
    </cacheField>
    <cacheField name="Points - 'Connaught Network Services Private Limited' should be referred to as MSC" numFmtId="0">
      <sharedItems containsSemiMixedTypes="0" containsString="0" containsNumber="1" containsInteger="1" minValue="0" maxValue="1"/>
    </cacheField>
    <cacheField name="Feedback - 'Connaught Network Services Private Limited' should be referred to as MSC" numFmtId="49">
      <sharedItems containsNonDate="0" containsString="0" containsBlank="1"/>
    </cacheField>
    <cacheField name="'Outport' is the preferred term for regions outside the HUB" numFmtId="49">
      <sharedItems/>
    </cacheField>
    <cacheField name="Points - 'Outport' is the preferred term for regions outside the HUB" numFmtId="0">
      <sharedItems containsSemiMixedTypes="0" containsString="0" containsNumber="1" containsInteger="1" minValue="0" maxValue="1"/>
    </cacheField>
    <cacheField name="Feedback - 'Outport' is the preferred term for regions outside the HUB" numFmtId="49">
      <sharedItems containsNonDate="0" containsString="0" containsBlank="1"/>
    </cacheField>
    <cacheField name="Guest or client is the right term to refer to people who use our services outside of the airport e.g. , holiday, shop or ship their cargo with us._x000a_" numFmtId="49">
      <sharedItems/>
    </cacheField>
    <cacheField name="Points - Guest or client is the right term to refer to people who use our services outside of the airport e.g. , holiday, shop or ship their cargo with us._x000a_" numFmtId="0">
      <sharedItems containsSemiMixedTypes="0" containsString="0" containsNumber="1" containsInteger="1" minValue="0" maxValue="1"/>
    </cacheField>
    <cacheField name="Feedback - Guest or client is the right term to refer to people who use our services outside of the airport e.g. , holiday, shop or ship their cargo with us._x000a_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8"/>
    <d v="2026-04-10T11:21:50"/>
    <d v="2026-04-10T11:22:48"/>
    <s v="v027rag@cathaypacific.com"/>
    <x v="0"/>
    <x v="0"/>
    <n v="5"/>
    <m/>
    <m/>
    <s v="test"/>
    <m/>
    <m/>
    <x v="0"/>
    <m/>
    <m/>
    <s v="True"/>
    <n v="5"/>
    <m/>
    <s v="True"/>
    <n v="0"/>
    <m/>
    <s v="False"/>
    <n v="0"/>
    <m/>
    <s v="True"/>
    <n v="0"/>
    <m/>
    <s v="True"/>
    <n v="0"/>
    <m/>
    <s v="True"/>
    <n v="0"/>
    <m/>
  </r>
  <r>
    <n v="9"/>
    <d v="2026-04-10T12:22:01"/>
    <d v="2026-04-10T12:24:52"/>
    <s v="v027rag@cathaypacific.com"/>
    <x v="0"/>
    <x v="1"/>
    <n v="3"/>
    <m/>
    <m/>
    <s v="admin"/>
    <m/>
    <m/>
    <x v="1"/>
    <m/>
    <m/>
    <s v="True"/>
    <n v="1"/>
    <m/>
    <s v="True"/>
    <n v="0"/>
    <m/>
    <s v="False"/>
    <n v="0"/>
    <m/>
    <s v="False"/>
    <n v="1"/>
    <m/>
    <s v="False"/>
    <n v="1"/>
    <m/>
    <s v="True"/>
    <n v="0"/>
    <m/>
  </r>
  <r>
    <n v="10"/>
    <d v="2026-04-10T12:27:00"/>
    <d v="2026-04-10T12:27:25"/>
    <s v="v027rag@cathaypacific.com"/>
    <x v="0"/>
    <x v="1"/>
    <n v="4"/>
    <m/>
    <m/>
    <s v="Cello"/>
    <m/>
    <m/>
    <x v="2"/>
    <m/>
    <m/>
    <s v="True"/>
    <n v="1"/>
    <m/>
    <s v="False"/>
    <n v="1"/>
    <m/>
    <s v="True"/>
    <n v="1"/>
    <m/>
    <s v="True"/>
    <n v="0"/>
    <m/>
    <s v="True"/>
    <n v="0"/>
    <m/>
    <s v="False"/>
    <n v="1"/>
    <m/>
  </r>
  <r>
    <n v="11"/>
    <d v="2026-04-10T12:36:37"/>
    <d v="2026-04-10T12:37:04"/>
    <s v="v027rag@cathaypacific.com"/>
    <x v="0"/>
    <x v="1"/>
    <n v="2"/>
    <m/>
    <m/>
    <s v="Max"/>
    <m/>
    <m/>
    <x v="3"/>
    <m/>
    <m/>
    <s v="False"/>
    <n v="0"/>
    <m/>
    <s v="True"/>
    <n v="0"/>
    <m/>
    <s v="True"/>
    <n v="1"/>
    <m/>
    <s v="False"/>
    <n v="1"/>
    <m/>
    <s v="True"/>
    <n v="0"/>
    <m/>
    <s v="True"/>
    <n v="0"/>
    <m/>
  </r>
  <r>
    <n v="12"/>
    <d v="2026-04-10T12:49:46"/>
    <d v="2026-04-10T12:50:08"/>
    <s v="v027rag@cathaypacific.com"/>
    <x v="0"/>
    <x v="1"/>
    <n v="3"/>
    <m/>
    <m/>
    <s v="XAT"/>
    <m/>
    <m/>
    <x v="4"/>
    <m/>
    <m/>
    <s v="True"/>
    <n v="1"/>
    <m/>
    <s v="True"/>
    <n v="0"/>
    <m/>
    <s v="False"/>
    <n v="0"/>
    <m/>
    <s v="False"/>
    <n v="1"/>
    <m/>
    <s v="False"/>
    <n v="1"/>
    <m/>
    <s v="True"/>
    <n v="0"/>
    <m/>
  </r>
  <r>
    <n v="13"/>
    <d v="2026-04-10T12:48:04"/>
    <d v="2026-04-10T12:50:21"/>
    <s v="lydia_carneiro@cathaypacific.com"/>
    <x v="1"/>
    <x v="1"/>
    <n v="2"/>
    <m/>
    <m/>
    <s v="cpplydc"/>
    <m/>
    <m/>
    <x v="5"/>
    <m/>
    <m/>
    <s v="True"/>
    <n v="1"/>
    <m/>
    <s v="True"/>
    <n v="0"/>
    <m/>
    <s v="True"/>
    <n v="1"/>
    <m/>
    <s v="True"/>
    <n v="0"/>
    <m/>
    <s v="True"/>
    <n v="0"/>
    <m/>
    <s v="True"/>
    <n v="0"/>
    <m/>
  </r>
  <r>
    <n v="14"/>
    <d v="2026-04-10T12:53:23"/>
    <d v="2026-04-10T12:54:16"/>
    <s v="v027rag@cathaypacific.com"/>
    <x v="0"/>
    <x v="1"/>
    <n v="4"/>
    <m/>
    <m/>
    <s v="console"/>
    <m/>
    <m/>
    <x v="1"/>
    <m/>
    <m/>
    <s v="False"/>
    <n v="0"/>
    <m/>
    <s v="False"/>
    <n v="1"/>
    <m/>
    <s v="True"/>
    <n v="1"/>
    <m/>
    <s v="False"/>
    <n v="1"/>
    <m/>
    <s v="False"/>
    <n v="1"/>
    <m/>
    <s v="True"/>
    <n v="0"/>
    <m/>
  </r>
  <r>
    <n v="15"/>
    <d v="2026-04-10T12:55:17"/>
    <d v="2026-04-10T12:55:42"/>
    <s v="v027rag@cathaypacific.com"/>
    <x v="0"/>
    <x v="0"/>
    <n v="5"/>
    <m/>
    <m/>
    <s v="rover"/>
    <m/>
    <m/>
    <x v="5"/>
    <m/>
    <m/>
    <s v="True"/>
    <n v="1"/>
    <m/>
    <s v="False"/>
    <n v="1"/>
    <m/>
    <s v="True"/>
    <n v="1"/>
    <m/>
    <s v="False"/>
    <n v="1"/>
    <m/>
    <s v="False"/>
    <n v="1"/>
    <m/>
    <s v="True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9CDD3-D073-4A37-9A01-7EBC502C8679}" name="PivotTable2" cacheId="1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2:H5" firstHeaderRow="1" firstDataRow="1" firstDataCol="1"/>
  <pivotFields count="33">
    <pivotField compact="0" outline="0" showAll="0" defaultSubtotal="0"/>
    <pivotField compact="0" numFmtId="22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sult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5F340-CE55-430E-B320-CE11A6DFC048}" name="PivotTable1" cacheId="1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E10" firstHeaderRow="1" firstDataRow="1" firstDataCol="3"/>
  <pivotFields count="33">
    <pivotField compact="0" outline="0" showAll="0" defaultSubtotal="0"/>
    <pivotField compact="0" numFmtId="22" outline="0" showAll="0" defaultSubtotal="0"/>
    <pivotField compact="0" numFmtId="22" outline="0" showAll="0" defaultSubtotal="0"/>
    <pivotField compact="0" outline="0" showAll="0" defaultSubtotal="0"/>
    <pivotField name="Names" axis="axisRow" compact="0" outline="0" showAll="0" defaultSubtotal="0">
      <items count="2">
        <item x="0"/>
        <item x="1"/>
      </items>
    </pivotField>
    <pivotField name="Result" axis="axisRow"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6"/>
        <item x="3"/>
        <item x="2"/>
        <item x="4"/>
        <item m="1" x="8"/>
        <item x="0"/>
        <item x="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2"/>
    <field x="4"/>
    <field x="5"/>
  </rowFields>
  <rowItems count="8">
    <i>
      <x v="2"/>
      <x/>
      <x v="1"/>
    </i>
    <i>
      <x v="3"/>
      <x/>
      <x v="1"/>
    </i>
    <i>
      <x v="4"/>
      <x/>
      <x v="1"/>
    </i>
    <i>
      <x v="6"/>
      <x/>
      <x/>
    </i>
    <i>
      <x v="7"/>
      <x/>
      <x v="1"/>
    </i>
    <i>
      <x v="8"/>
      <x/>
      <x/>
    </i>
    <i r="1">
      <x v="1"/>
      <x v="1"/>
    </i>
    <i t="grand">
      <x/>
    </i>
  </rowItems>
  <colItems count="1">
    <i/>
  </colItems>
  <dataFields count="1">
    <dataField name="Average of Total points" fld="6" subtotal="average" baseField="0" baseItem="0" numFmtId="164"/>
  </dataFields>
  <formats count="2">
    <format dxfId="30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G9" totalsRowShown="0">
  <autoFilter ref="A1:AG9" xr:uid="{00000000-0009-0000-0100-000001000000}"/>
  <tableColumns count="33">
    <tableColumn id="1" xr3:uid="{00000000-0010-0000-0000-000001000000}" name="Id" dataDxfId="2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33" xr3:uid="{E56E0602-00D9-4BAD-9E0A-B60FF9B7160B}" name="Result" dataDxfId="26">
      <calculatedColumnFormula>IF(OfficeForms.Table[[#This Row],[Total points]]&gt;=5,"Pass","Fail")</calculatedColumnFormula>
    </tableColumn>
    <tableColumn id="6" xr3:uid="{00000000-0010-0000-0000-000006000000}" name="Total points" dataDxfId="25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24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Cathay ID" dataDxfId="23">
      <extLst>
        <ext xmlns:xlmsforms="http://schemas.microsoft.com/office/spreadsheetml/2023/msForms" uri="{FCC71383-01E1-4257-9335-427F07BE8D7F}">
          <xlmsforms:question id="r99af4f7c8fa545a587bc80f84c87a2ad"/>
        </ext>
      </extLst>
    </tableColumn>
    <tableColumn id="10" xr3:uid="{00000000-0010-0000-0000-00000A000000}" name="Points - Cathay ID" dataDxfId="22">
      <extLst>
        <ext xmlns:xlmsforms="http://schemas.microsoft.com/office/spreadsheetml/2023/msForms" uri="{FCC71383-01E1-4257-9335-427F07BE8D7F}">
          <xlmsforms:question id="r99af4f7c8fa545a587bc80f84c87a2ad-Score"/>
        </ext>
      </extLst>
    </tableColumn>
    <tableColumn id="11" xr3:uid="{00000000-0010-0000-0000-00000B000000}" name="Feedback - Cathay ID" dataDxfId="21">
      <extLst>
        <ext xmlns:xlmsforms="http://schemas.microsoft.com/office/spreadsheetml/2023/msForms" uri="{FCC71383-01E1-4257-9335-427F07BE8D7F}">
          <xlmsforms:question id="r99af4f7c8fa545a587bc80f84c87a2ad-Comment"/>
        </ext>
      </extLst>
    </tableColumn>
    <tableColumn id="12" xr3:uid="{00000000-0010-0000-0000-00000C000000}" name="Department" dataDxfId="20">
      <extLst>
        <ext xmlns:xlmsforms="http://schemas.microsoft.com/office/spreadsheetml/2023/msForms" uri="{FCC71383-01E1-4257-9335-427F07BE8D7F}">
          <xlmsforms:question id="r00726090d0604955a17dcdf1aac7072a"/>
        </ext>
      </extLst>
    </tableColumn>
    <tableColumn id="13" xr3:uid="{00000000-0010-0000-0000-00000D000000}" name="Points - Department" dataDxfId="19">
      <extLst>
        <ext xmlns:xlmsforms="http://schemas.microsoft.com/office/spreadsheetml/2023/msForms" uri="{FCC71383-01E1-4257-9335-427F07BE8D7F}">
          <xlmsforms:question id="r00726090d0604955a17dcdf1aac7072a-Score"/>
        </ext>
      </extLst>
    </tableColumn>
    <tableColumn id="14" xr3:uid="{00000000-0010-0000-0000-00000E000000}" name="Feedback - Department" dataDxfId="18">
      <extLst>
        <ext xmlns:xlmsforms="http://schemas.microsoft.com/office/spreadsheetml/2023/msForms" uri="{FCC71383-01E1-4257-9335-427F07BE8D7F}">
          <xlmsforms:question id="r00726090d0604955a17dcdf1aac7072a-Comment"/>
        </ext>
      </extLst>
    </tableColumn>
    <tableColumn id="15" xr3:uid="{00000000-0010-0000-0000-00000F000000}" name="Cathay ID is the preferred term over GalaCXy ID" dataDxfId="17">
      <extLst>
        <ext xmlns:xlmsforms="http://schemas.microsoft.com/office/spreadsheetml/2023/msForms" uri="{FCC71383-01E1-4257-9335-427F07BE8D7F}">
          <xlmsforms:question id="r94934ad040854035b8168f6ba2b067ef"/>
        </ext>
      </extLst>
    </tableColumn>
    <tableColumn id="16" xr3:uid="{00000000-0010-0000-0000-000010000000}" name="Points - Cathay ID is the preferred term over GalaCXy ID" dataDxfId="16">
      <extLst>
        <ext xmlns:xlmsforms="http://schemas.microsoft.com/office/spreadsheetml/2023/msForms" uri="{FCC71383-01E1-4257-9335-427F07BE8D7F}">
          <xlmsforms:question id="r94934ad040854035b8168f6ba2b067ef-Score"/>
        </ext>
      </extLst>
    </tableColumn>
    <tableColumn id="17" xr3:uid="{00000000-0010-0000-0000-000011000000}" name="Feedback - Cathay ID is the preferred term over GalaCXy ID" dataDxfId="15">
      <extLst>
        <ext xmlns:xlmsforms="http://schemas.microsoft.com/office/spreadsheetml/2023/msForms" uri="{FCC71383-01E1-4257-9335-427F07BE8D7F}">
          <xlmsforms:question id="r94934ad040854035b8168f6ba2b067ef-Comment"/>
        </ext>
      </extLst>
    </tableColumn>
    <tableColumn id="18" xr3:uid="{00000000-0010-0000-0000-000012000000}" name="'Pax' is acceptable in internal emails as long as everyone understands it._x000a_" dataDxfId="14">
      <extLst>
        <ext xmlns:xlmsforms="http://schemas.microsoft.com/office/spreadsheetml/2023/msForms" uri="{FCC71383-01E1-4257-9335-427F07BE8D7F}">
          <xlmsforms:question id="rdaec5a78bfc94f99ac5a5fa939071faf"/>
        </ext>
      </extLst>
    </tableColumn>
    <tableColumn id="19" xr3:uid="{00000000-0010-0000-0000-000013000000}" name="Points - 'Pax' is acceptable in internal emails as long as everyone understands it._x000a_" dataDxfId="13">
      <extLst>
        <ext xmlns:xlmsforms="http://schemas.microsoft.com/office/spreadsheetml/2023/msForms" uri="{FCC71383-01E1-4257-9335-427F07BE8D7F}">
          <xlmsforms:question id="rdaec5a78bfc94f99ac5a5fa939071faf-Score"/>
        </ext>
      </extLst>
    </tableColumn>
    <tableColumn id="20" xr3:uid="{00000000-0010-0000-0000-000014000000}" name="Feedback - 'Pax' is acceptable in internal emails as long as everyone understands it._x000a_" dataDxfId="12">
      <extLst>
        <ext xmlns:xlmsforms="http://schemas.microsoft.com/office/spreadsheetml/2023/msForms" uri="{FCC71383-01E1-4257-9335-427F07BE8D7F}">
          <xlmsforms:question id="rdaec5a78bfc94f99ac5a5fa939071faf-Comment"/>
        </ext>
      </extLst>
    </tableColumn>
    <tableColumn id="21" xr3:uid="{00000000-0010-0000-0000-000015000000}" name="It is incorrect to refer to Cathay employees as 'staff' in any kind of communication" dataDxfId="11">
      <extLst>
        <ext xmlns:xlmsforms="http://schemas.microsoft.com/office/spreadsheetml/2023/msForms" uri="{FCC71383-01E1-4257-9335-427F07BE8D7F}">
          <xlmsforms:question id="r789d9640b6684d7a8d86b80ec682a2c9"/>
        </ext>
      </extLst>
    </tableColumn>
    <tableColumn id="22" xr3:uid="{00000000-0010-0000-0000-000016000000}" name="Points - It is incorrect to refer to Cathay employees as 'staff' in any kind of communication" dataDxfId="10">
      <extLst>
        <ext xmlns:xlmsforms="http://schemas.microsoft.com/office/spreadsheetml/2023/msForms" uri="{FCC71383-01E1-4257-9335-427F07BE8D7F}">
          <xlmsforms:question id="r789d9640b6684d7a8d86b80ec682a2c9-Score"/>
        </ext>
      </extLst>
    </tableColumn>
    <tableColumn id="23" xr3:uid="{00000000-0010-0000-0000-000017000000}" name="Feedback - It is incorrect to refer to Cathay employees as 'staff' in any kind of communication" dataDxfId="9">
      <extLst>
        <ext xmlns:xlmsforms="http://schemas.microsoft.com/office/spreadsheetml/2023/msForms" uri="{FCC71383-01E1-4257-9335-427F07BE8D7F}">
          <xlmsforms:question id="r789d9640b6684d7a8d86b80ec682a2c9-Comment"/>
        </ext>
      </extLst>
    </tableColumn>
    <tableColumn id="24" xr3:uid="{00000000-0010-0000-0000-000018000000}" name="'Connaught Network Services Private Limited' should be referred to as MSC" dataDxfId="8">
      <extLst>
        <ext xmlns:xlmsforms="http://schemas.microsoft.com/office/spreadsheetml/2023/msForms" uri="{FCC71383-01E1-4257-9335-427F07BE8D7F}">
          <xlmsforms:question id="r1f4ec126283c4df08943250dc127eaa1"/>
        </ext>
      </extLst>
    </tableColumn>
    <tableColumn id="25" xr3:uid="{00000000-0010-0000-0000-000019000000}" name="Points - 'Connaught Network Services Private Limited' should be referred to as MSC" dataDxfId="7">
      <extLst>
        <ext xmlns:xlmsforms="http://schemas.microsoft.com/office/spreadsheetml/2023/msForms" uri="{FCC71383-01E1-4257-9335-427F07BE8D7F}">
          <xlmsforms:question id="r1f4ec126283c4df08943250dc127eaa1-Score"/>
        </ext>
      </extLst>
    </tableColumn>
    <tableColumn id="26" xr3:uid="{00000000-0010-0000-0000-00001A000000}" name="Feedback - 'Connaught Network Services Private Limited' should be referred to as MSC" dataDxfId="6">
      <extLst>
        <ext xmlns:xlmsforms="http://schemas.microsoft.com/office/spreadsheetml/2023/msForms" uri="{FCC71383-01E1-4257-9335-427F07BE8D7F}">
          <xlmsforms:question id="r1f4ec126283c4df08943250dc127eaa1-Comment"/>
        </ext>
      </extLst>
    </tableColumn>
    <tableColumn id="27" xr3:uid="{00000000-0010-0000-0000-00001B000000}" name="'Outport' is the preferred term for regions outside the HUB" dataDxfId="5">
      <extLst>
        <ext xmlns:xlmsforms="http://schemas.microsoft.com/office/spreadsheetml/2023/msForms" uri="{FCC71383-01E1-4257-9335-427F07BE8D7F}">
          <xlmsforms:question id="rbb9a541ea1ab420599295ff178d5368f"/>
        </ext>
      </extLst>
    </tableColumn>
    <tableColumn id="28" xr3:uid="{00000000-0010-0000-0000-00001C000000}" name="Points - 'Outport' is the preferred term for regions outside the HUB" dataDxfId="4">
      <extLst>
        <ext xmlns:xlmsforms="http://schemas.microsoft.com/office/spreadsheetml/2023/msForms" uri="{FCC71383-01E1-4257-9335-427F07BE8D7F}">
          <xlmsforms:question id="rbb9a541ea1ab420599295ff178d5368f-Score"/>
        </ext>
      </extLst>
    </tableColumn>
    <tableColumn id="29" xr3:uid="{00000000-0010-0000-0000-00001D000000}" name="Feedback - 'Outport' is the preferred term for regions outside the HUB" dataDxfId="3">
      <extLst>
        <ext xmlns:xlmsforms="http://schemas.microsoft.com/office/spreadsheetml/2023/msForms" uri="{FCC71383-01E1-4257-9335-427F07BE8D7F}">
          <xlmsforms:question id="rbb9a541ea1ab420599295ff178d5368f-Comment"/>
        </ext>
      </extLst>
    </tableColumn>
    <tableColumn id="30" xr3:uid="{00000000-0010-0000-0000-00001E000000}" name="Guest or client is the right term to refer to people who use our services outside of the airport e.g. , holiday, shop or ship their cargo with us._x000a_" dataDxfId="2">
      <extLst>
        <ext xmlns:xlmsforms="http://schemas.microsoft.com/office/spreadsheetml/2023/msForms" uri="{FCC71383-01E1-4257-9335-427F07BE8D7F}">
          <xlmsforms:question id="rb86f49839e974cc08902e754e211ae19"/>
        </ext>
      </extLst>
    </tableColumn>
    <tableColumn id="31" xr3:uid="{00000000-0010-0000-0000-00001F000000}" name="Points - Guest or client is the right term to refer to people who use our services outside of the airport e.g. , holiday, shop or ship their cargo with us._x000a_" dataDxfId="1">
      <extLst>
        <ext xmlns:xlmsforms="http://schemas.microsoft.com/office/spreadsheetml/2023/msForms" uri="{FCC71383-01E1-4257-9335-427F07BE8D7F}">
          <xlmsforms:question id="rb86f49839e974cc08902e754e211ae19-Score"/>
        </ext>
      </extLst>
    </tableColumn>
    <tableColumn id="32" xr3:uid="{00000000-0010-0000-0000-000020000000}" name="Feedback - Guest or client is the right term to refer to people who use our services outside of the airport e.g. , holiday, shop or ship their cargo with us._x000a_" dataDxfId="0">
      <extLst>
        <ext xmlns:xlmsforms="http://schemas.microsoft.com/office/spreadsheetml/2023/msForms" uri="{FCC71383-01E1-4257-9335-427F07BE8D7F}">
          <xlmsforms:question id="rb86f49839e974cc08902e754e211ae19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Moq9qIre0Ggwas_ECDMxDfeVsDIUYREtvhdPgy76ZtURU5HRFNWWldOSEtUMEtMVkc0NFBWQlRERy4u" isFormConnected="1" maxResponseId="15" latestEventMarker="1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r99af4f7c8fa545a587bc80f84c87a2ad</xlmsforms:syncedQuestionId>
        <xlmsforms:syncedQuestionId>r99af4f7c8fa545a587bc80f84c87a2ad-Score</xlmsforms:syncedQuestionId>
        <xlmsforms:syncedQuestionId>r99af4f7c8fa545a587bc80f84c87a2ad-Comment</xlmsforms:syncedQuestionId>
        <xlmsforms:syncedQuestionId>r00726090d0604955a17dcdf1aac7072a</xlmsforms:syncedQuestionId>
        <xlmsforms:syncedQuestionId>r00726090d0604955a17dcdf1aac7072a-Score</xlmsforms:syncedQuestionId>
        <xlmsforms:syncedQuestionId>r00726090d0604955a17dcdf1aac7072a-Comment</xlmsforms:syncedQuestionId>
        <xlmsforms:syncedQuestionId>r94934ad040854035b8168f6ba2b067ef</xlmsforms:syncedQuestionId>
        <xlmsforms:syncedQuestionId>r94934ad040854035b8168f6ba2b067ef-Score</xlmsforms:syncedQuestionId>
        <xlmsforms:syncedQuestionId>r94934ad040854035b8168f6ba2b067ef-Comment</xlmsforms:syncedQuestionId>
        <xlmsforms:syncedQuestionId>rdaec5a78bfc94f99ac5a5fa939071faf</xlmsforms:syncedQuestionId>
        <xlmsforms:syncedQuestionId>rdaec5a78bfc94f99ac5a5fa939071faf-Score</xlmsforms:syncedQuestionId>
        <xlmsforms:syncedQuestionId>rdaec5a78bfc94f99ac5a5fa939071faf-Comment</xlmsforms:syncedQuestionId>
        <xlmsforms:syncedQuestionId>r789d9640b6684d7a8d86b80ec682a2c9</xlmsforms:syncedQuestionId>
        <xlmsforms:syncedQuestionId>r789d9640b6684d7a8d86b80ec682a2c9-Score</xlmsforms:syncedQuestionId>
        <xlmsforms:syncedQuestionId>r789d9640b6684d7a8d86b80ec682a2c9-Comment</xlmsforms:syncedQuestionId>
        <xlmsforms:syncedQuestionId>r1f4ec126283c4df08943250dc127eaa1</xlmsforms:syncedQuestionId>
        <xlmsforms:syncedQuestionId>r1f4ec126283c4df08943250dc127eaa1-Score</xlmsforms:syncedQuestionId>
        <xlmsforms:syncedQuestionId>r1f4ec126283c4df08943250dc127eaa1-Comment</xlmsforms:syncedQuestionId>
        <xlmsforms:syncedQuestionId>rbb9a541ea1ab420599295ff178d5368f</xlmsforms:syncedQuestionId>
        <xlmsforms:syncedQuestionId>rbb9a541ea1ab420599295ff178d5368f-Score</xlmsforms:syncedQuestionId>
        <xlmsforms:syncedQuestionId>rbb9a541ea1ab420599295ff178d5368f-Comment</xlmsforms:syncedQuestionId>
        <xlmsforms:syncedQuestionId>rb86f49839e974cc08902e754e211ae19</xlmsforms:syncedQuestionId>
        <xlmsforms:syncedQuestionId>rb86f49839e974cc08902e754e211ae19-Score</xlmsforms:syncedQuestionId>
        <xlmsforms:syncedQuestionId>rb86f49839e974cc08902e754e211ae19-Comment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workbookViewId="0">
      <selection activeCell="A2" sqref="A2"/>
    </sheetView>
  </sheetViews>
  <sheetFormatPr defaultRowHeight="15"/>
  <cols>
    <col min="1" max="5" width="20" bestFit="1" customWidth="1"/>
    <col min="6" max="6" width="20" customWidth="1"/>
    <col min="7" max="33" width="20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8</v>
      </c>
      <c r="B2" s="1">
        <v>46122.473495370403</v>
      </c>
      <c r="C2" s="1">
        <v>46122.474166666703</v>
      </c>
      <c r="D2" s="3" t="s">
        <v>33</v>
      </c>
      <c r="E2" s="3" t="s">
        <v>34</v>
      </c>
      <c r="F2" t="str">
        <f>IF(OfficeForms.Table[[#This Row],[Total points]]&gt;=5,"Pass","Fail")</f>
        <v>Pass</v>
      </c>
      <c r="G2">
        <v>5</v>
      </c>
      <c r="H2" s="3"/>
      <c r="I2" s="1"/>
      <c r="J2" s="3" t="s">
        <v>35</v>
      </c>
      <c r="L2" s="3"/>
      <c r="M2" s="3" t="s">
        <v>36</v>
      </c>
      <c r="O2" s="3"/>
      <c r="P2" s="3" t="s">
        <v>37</v>
      </c>
      <c r="Q2">
        <v>5</v>
      </c>
      <c r="R2" s="3"/>
      <c r="S2" s="3" t="s">
        <v>37</v>
      </c>
      <c r="T2">
        <v>0</v>
      </c>
      <c r="U2" s="3"/>
      <c r="V2" s="3" t="s">
        <v>38</v>
      </c>
      <c r="W2">
        <v>0</v>
      </c>
      <c r="X2" s="3"/>
      <c r="Y2" s="3" t="s">
        <v>37</v>
      </c>
      <c r="Z2">
        <v>0</v>
      </c>
      <c r="AA2" s="3"/>
      <c r="AB2" s="3" t="s">
        <v>37</v>
      </c>
      <c r="AC2">
        <v>0</v>
      </c>
      <c r="AD2" s="3"/>
      <c r="AE2" s="3" t="s">
        <v>37</v>
      </c>
      <c r="AF2">
        <v>0</v>
      </c>
      <c r="AG2" s="3"/>
    </row>
    <row r="3" spans="1:33">
      <c r="A3">
        <v>9</v>
      </c>
      <c r="B3" s="1">
        <v>46122.515289351897</v>
      </c>
      <c r="C3" s="1">
        <v>46122.517268518503</v>
      </c>
      <c r="D3" s="3" t="s">
        <v>33</v>
      </c>
      <c r="E3" s="3" t="s">
        <v>34</v>
      </c>
      <c r="F3" t="str">
        <f>IF(OfficeForms.Table[[#This Row],[Total points]]&gt;=5,"Pass","Fail")</f>
        <v>Fail</v>
      </c>
      <c r="G3">
        <v>3</v>
      </c>
      <c r="H3" s="3"/>
      <c r="I3" s="1"/>
      <c r="J3" s="3" t="s">
        <v>39</v>
      </c>
      <c r="L3" s="3"/>
      <c r="M3" s="3" t="s">
        <v>40</v>
      </c>
      <c r="O3" s="3"/>
      <c r="P3" s="3" t="s">
        <v>37</v>
      </c>
      <c r="Q3">
        <v>1</v>
      </c>
      <c r="R3" s="3"/>
      <c r="S3" s="3" t="s">
        <v>37</v>
      </c>
      <c r="T3">
        <v>0</v>
      </c>
      <c r="U3" s="3"/>
      <c r="V3" s="3" t="s">
        <v>38</v>
      </c>
      <c r="W3">
        <v>0</v>
      </c>
      <c r="X3" s="3"/>
      <c r="Y3" s="3" t="s">
        <v>38</v>
      </c>
      <c r="Z3">
        <v>1</v>
      </c>
      <c r="AA3" s="3"/>
      <c r="AB3" s="3" t="s">
        <v>38</v>
      </c>
      <c r="AC3">
        <v>1</v>
      </c>
      <c r="AD3" s="3"/>
      <c r="AE3" s="3" t="s">
        <v>37</v>
      </c>
      <c r="AF3">
        <v>0</v>
      </c>
      <c r="AG3" s="3"/>
    </row>
    <row r="4" spans="1:33">
      <c r="A4">
        <v>10</v>
      </c>
      <c r="B4" s="1">
        <v>46122.518750000003</v>
      </c>
      <c r="C4" s="1">
        <v>46122.519039351901</v>
      </c>
      <c r="D4" s="3" t="s">
        <v>33</v>
      </c>
      <c r="E4" s="3" t="s">
        <v>34</v>
      </c>
      <c r="F4" t="str">
        <f>IF(OfficeForms.Table[[#This Row],[Total points]]&gt;=5,"Pass","Fail")</f>
        <v>Fail</v>
      </c>
      <c r="G4">
        <v>4</v>
      </c>
      <c r="H4" s="3"/>
      <c r="I4" s="1"/>
      <c r="J4" s="3" t="s">
        <v>41</v>
      </c>
      <c r="L4" s="3"/>
      <c r="M4" s="3" t="s">
        <v>42</v>
      </c>
      <c r="O4" s="3"/>
      <c r="P4" s="3" t="s">
        <v>37</v>
      </c>
      <c r="Q4">
        <v>1</v>
      </c>
      <c r="R4" s="3"/>
      <c r="S4" s="3" t="s">
        <v>38</v>
      </c>
      <c r="T4">
        <v>1</v>
      </c>
      <c r="U4" s="3"/>
      <c r="V4" s="3" t="s">
        <v>37</v>
      </c>
      <c r="W4">
        <v>1</v>
      </c>
      <c r="X4" s="3"/>
      <c r="Y4" s="3" t="s">
        <v>37</v>
      </c>
      <c r="Z4">
        <v>0</v>
      </c>
      <c r="AA4" s="3"/>
      <c r="AB4" s="3" t="s">
        <v>37</v>
      </c>
      <c r="AC4">
        <v>0</v>
      </c>
      <c r="AD4" s="3"/>
      <c r="AE4" s="3" t="s">
        <v>38</v>
      </c>
      <c r="AF4">
        <v>1</v>
      </c>
      <c r="AG4" s="3"/>
    </row>
    <row r="5" spans="1:33">
      <c r="A5">
        <v>11</v>
      </c>
      <c r="B5" s="1">
        <v>46122.525428240697</v>
      </c>
      <c r="C5" s="1">
        <v>46122.525740740697</v>
      </c>
      <c r="D5" s="3" t="s">
        <v>33</v>
      </c>
      <c r="E5" s="3" t="s">
        <v>34</v>
      </c>
      <c r="F5" t="str">
        <f>IF(OfficeForms.Table[[#This Row],[Total points]]&gt;=5,"Pass","Fail")</f>
        <v>Fail</v>
      </c>
      <c r="G5">
        <v>2</v>
      </c>
      <c r="H5" s="3"/>
      <c r="I5" s="1"/>
      <c r="J5" s="3" t="s">
        <v>43</v>
      </c>
      <c r="L5" s="3"/>
      <c r="M5" s="3" t="s">
        <v>44</v>
      </c>
      <c r="O5" s="3"/>
      <c r="P5" s="3" t="s">
        <v>38</v>
      </c>
      <c r="Q5">
        <v>0</v>
      </c>
      <c r="R5" s="3"/>
      <c r="S5" s="3" t="s">
        <v>37</v>
      </c>
      <c r="T5">
        <v>0</v>
      </c>
      <c r="U5" s="3"/>
      <c r="V5" s="3" t="s">
        <v>37</v>
      </c>
      <c r="W5">
        <v>1</v>
      </c>
      <c r="X5" s="3"/>
      <c r="Y5" s="3" t="s">
        <v>38</v>
      </c>
      <c r="Z5">
        <v>1</v>
      </c>
      <c r="AA5" s="3"/>
      <c r="AB5" s="3" t="s">
        <v>37</v>
      </c>
      <c r="AC5">
        <v>0</v>
      </c>
      <c r="AD5" s="3"/>
      <c r="AE5" s="3" t="s">
        <v>37</v>
      </c>
      <c r="AF5">
        <v>0</v>
      </c>
      <c r="AG5" s="3"/>
    </row>
    <row r="6" spans="1:33">
      <c r="A6">
        <v>12</v>
      </c>
      <c r="B6" s="1">
        <v>46122.534560185202</v>
      </c>
      <c r="C6" s="1">
        <v>46122.534814814797</v>
      </c>
      <c r="D6" s="3" t="s">
        <v>33</v>
      </c>
      <c r="E6" s="3" t="s">
        <v>34</v>
      </c>
      <c r="F6" t="str">
        <f>IF(OfficeForms.Table[[#This Row],[Total points]]&gt;=5,"Pass","Fail")</f>
        <v>Fail</v>
      </c>
      <c r="G6">
        <v>3</v>
      </c>
      <c r="H6" s="3"/>
      <c r="I6" s="1"/>
      <c r="J6" s="3" t="s">
        <v>45</v>
      </c>
      <c r="L6" s="3"/>
      <c r="M6" s="3" t="s">
        <v>46</v>
      </c>
      <c r="O6" s="3"/>
      <c r="P6" s="3" t="s">
        <v>37</v>
      </c>
      <c r="Q6">
        <v>1</v>
      </c>
      <c r="R6" s="3"/>
      <c r="S6" s="3" t="s">
        <v>37</v>
      </c>
      <c r="T6">
        <v>0</v>
      </c>
      <c r="U6" s="3"/>
      <c r="V6" s="3" t="s">
        <v>38</v>
      </c>
      <c r="W6">
        <v>0</v>
      </c>
      <c r="X6" s="3"/>
      <c r="Y6" s="3" t="s">
        <v>38</v>
      </c>
      <c r="Z6">
        <v>1</v>
      </c>
      <c r="AA6" s="3"/>
      <c r="AB6" s="3" t="s">
        <v>38</v>
      </c>
      <c r="AC6">
        <v>1</v>
      </c>
      <c r="AD6" s="3"/>
      <c r="AE6" s="3" t="s">
        <v>37</v>
      </c>
      <c r="AF6">
        <v>0</v>
      </c>
      <c r="AG6" s="3"/>
    </row>
    <row r="7" spans="1:33">
      <c r="A7">
        <v>13</v>
      </c>
      <c r="B7" s="1">
        <v>46122.533379629604</v>
      </c>
      <c r="C7" s="1">
        <v>46122.534965277802</v>
      </c>
      <c r="D7" s="3" t="s">
        <v>47</v>
      </c>
      <c r="E7" s="3" t="s">
        <v>48</v>
      </c>
      <c r="F7" t="str">
        <f>IF(OfficeForms.Table[[#This Row],[Total points]]&gt;=5,"Pass","Fail")</f>
        <v>Fail</v>
      </c>
      <c r="G7">
        <v>2</v>
      </c>
      <c r="H7" s="3"/>
      <c r="I7" s="1"/>
      <c r="J7" s="3" t="s">
        <v>49</v>
      </c>
      <c r="L7" s="3"/>
      <c r="M7" s="3" t="s">
        <v>50</v>
      </c>
      <c r="O7" s="3"/>
      <c r="P7" s="3" t="s">
        <v>37</v>
      </c>
      <c r="Q7">
        <v>1</v>
      </c>
      <c r="R7" s="3"/>
      <c r="S7" s="3" t="s">
        <v>37</v>
      </c>
      <c r="T7">
        <v>0</v>
      </c>
      <c r="U7" s="3"/>
      <c r="V7" s="3" t="s">
        <v>37</v>
      </c>
      <c r="W7">
        <v>1</v>
      </c>
      <c r="X7" s="3"/>
      <c r="Y7" s="3" t="s">
        <v>37</v>
      </c>
      <c r="Z7">
        <v>0</v>
      </c>
      <c r="AA7" s="3"/>
      <c r="AB7" s="3" t="s">
        <v>37</v>
      </c>
      <c r="AC7">
        <v>0</v>
      </c>
      <c r="AD7" s="3"/>
      <c r="AE7" s="3" t="s">
        <v>37</v>
      </c>
      <c r="AF7">
        <v>0</v>
      </c>
      <c r="AG7" s="3"/>
    </row>
    <row r="8" spans="1:33">
      <c r="A8" s="5">
        <v>14</v>
      </c>
      <c r="B8" s="1">
        <v>46122.537071759303</v>
      </c>
      <c r="C8" s="1">
        <v>46122.537685185198</v>
      </c>
      <c r="D8" s="3" t="s">
        <v>33</v>
      </c>
      <c r="E8" s="3" t="s">
        <v>34</v>
      </c>
      <c r="F8" s="5" t="str">
        <f>IF(OfficeForms.Table[[#This Row],[Total points]]&gt;=5,"Pass","Fail")</f>
        <v>Fail</v>
      </c>
      <c r="G8" s="5">
        <v>4</v>
      </c>
      <c r="H8" s="3"/>
      <c r="I8" s="1"/>
      <c r="J8" s="3" t="s">
        <v>51</v>
      </c>
      <c r="K8" s="5"/>
      <c r="L8" s="3"/>
      <c r="M8" s="3" t="s">
        <v>40</v>
      </c>
      <c r="N8" s="5"/>
      <c r="O8" s="3"/>
      <c r="P8" s="3" t="s">
        <v>38</v>
      </c>
      <c r="Q8" s="5">
        <v>0</v>
      </c>
      <c r="R8" s="3"/>
      <c r="S8" s="3" t="s">
        <v>38</v>
      </c>
      <c r="T8" s="5">
        <v>1</v>
      </c>
      <c r="U8" s="3"/>
      <c r="V8" s="3" t="s">
        <v>37</v>
      </c>
      <c r="W8" s="5">
        <v>1</v>
      </c>
      <c r="X8" s="3"/>
      <c r="Y8" s="3" t="s">
        <v>38</v>
      </c>
      <c r="Z8" s="5">
        <v>1</v>
      </c>
      <c r="AA8" s="3"/>
      <c r="AB8" s="3" t="s">
        <v>38</v>
      </c>
      <c r="AC8" s="5">
        <v>1</v>
      </c>
      <c r="AD8" s="3"/>
      <c r="AE8" s="3" t="s">
        <v>37</v>
      </c>
      <c r="AF8" s="5">
        <v>0</v>
      </c>
      <c r="AG8" s="3"/>
    </row>
    <row r="9" spans="1:33">
      <c r="A9" s="5">
        <v>15</v>
      </c>
      <c r="B9" s="1">
        <v>46122.5383912037</v>
      </c>
      <c r="C9" s="1">
        <v>46122.538680555597</v>
      </c>
      <c r="D9" s="3" t="s">
        <v>33</v>
      </c>
      <c r="E9" s="3" t="s">
        <v>34</v>
      </c>
      <c r="F9" s="5" t="str">
        <f>IF(OfficeForms.Table[[#This Row],[Total points]]&gt;=5,"Pass","Fail")</f>
        <v>Pass</v>
      </c>
      <c r="G9" s="5">
        <v>5</v>
      </c>
      <c r="H9" s="3"/>
      <c r="I9" s="1"/>
      <c r="J9" s="3" t="s">
        <v>52</v>
      </c>
      <c r="K9" s="5"/>
      <c r="L9" s="3"/>
      <c r="M9" s="3" t="s">
        <v>50</v>
      </c>
      <c r="N9" s="5"/>
      <c r="O9" s="3"/>
      <c r="P9" s="3" t="s">
        <v>37</v>
      </c>
      <c r="Q9" s="5">
        <v>1</v>
      </c>
      <c r="R9" s="3"/>
      <c r="S9" s="3" t="s">
        <v>38</v>
      </c>
      <c r="T9" s="5">
        <v>1</v>
      </c>
      <c r="U9" s="3"/>
      <c r="V9" s="3" t="s">
        <v>37</v>
      </c>
      <c r="W9" s="5">
        <v>1</v>
      </c>
      <c r="X9" s="3"/>
      <c r="Y9" s="3" t="s">
        <v>38</v>
      </c>
      <c r="Z9" s="5">
        <v>1</v>
      </c>
      <c r="AA9" s="3"/>
      <c r="AB9" s="3" t="s">
        <v>38</v>
      </c>
      <c r="AC9" s="5">
        <v>1</v>
      </c>
      <c r="AD9" s="3"/>
      <c r="AE9" s="3" t="s">
        <v>37</v>
      </c>
      <c r="AF9" s="5">
        <v>0</v>
      </c>
      <c r="AG9" s="3"/>
    </row>
  </sheetData>
  <sheetProtection formatCells="0" formatColumns="0" formatRows="0" insertColumns="0" insertRows="0" insertHyperlinks="0" autoFilter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85F0-CFDC-4907-96BB-DC07DD1B4514}">
  <dimension ref="B2:H10"/>
  <sheetViews>
    <sheetView tabSelected="1" workbookViewId="0">
      <selection activeCell="C7" sqref="C7"/>
    </sheetView>
  </sheetViews>
  <sheetFormatPr defaultRowHeight="15"/>
  <cols>
    <col min="1" max="1" width="4.140625" customWidth="1"/>
    <col min="2" max="2" width="16.7109375" customWidth="1"/>
    <col min="3" max="3" width="18.7109375" customWidth="1"/>
    <col min="4" max="4" width="9.85546875" customWidth="1"/>
    <col min="5" max="5" width="22.28515625" style="4" customWidth="1"/>
    <col min="6" max="6" width="9.85546875" customWidth="1"/>
    <col min="7" max="7" width="11.7109375" bestFit="1" customWidth="1"/>
    <col min="8" max="8" width="15" bestFit="1" customWidth="1"/>
  </cols>
  <sheetData>
    <row r="2" spans="2:8">
      <c r="B2" s="2" t="s">
        <v>12</v>
      </c>
      <c r="C2" s="2" t="s">
        <v>53</v>
      </c>
      <c r="D2" s="2" t="s">
        <v>5</v>
      </c>
      <c r="E2" s="4" t="s">
        <v>54</v>
      </c>
      <c r="F2" s="2"/>
      <c r="G2" s="2" t="s">
        <v>5</v>
      </c>
      <c r="H2" t="s">
        <v>55</v>
      </c>
    </row>
    <row r="3" spans="2:8">
      <c r="B3" t="s">
        <v>44</v>
      </c>
      <c r="C3" t="s">
        <v>34</v>
      </c>
      <c r="D3" t="s">
        <v>56</v>
      </c>
      <c r="E3" s="4">
        <v>2</v>
      </c>
      <c r="G3" t="s">
        <v>57</v>
      </c>
      <c r="H3" s="5">
        <v>2</v>
      </c>
    </row>
    <row r="4" spans="2:8">
      <c r="B4" t="s">
        <v>42</v>
      </c>
      <c r="C4" t="s">
        <v>34</v>
      </c>
      <c r="D4" t="s">
        <v>56</v>
      </c>
      <c r="E4" s="4">
        <v>4</v>
      </c>
      <c r="G4" t="s">
        <v>56</v>
      </c>
      <c r="H4" s="5">
        <v>6</v>
      </c>
    </row>
    <row r="5" spans="2:8">
      <c r="B5" t="s">
        <v>46</v>
      </c>
      <c r="C5" t="s">
        <v>34</v>
      </c>
      <c r="D5" t="s">
        <v>56</v>
      </c>
      <c r="E5" s="4">
        <v>3</v>
      </c>
      <c r="G5" t="s">
        <v>58</v>
      </c>
      <c r="H5" s="5">
        <v>8</v>
      </c>
    </row>
    <row r="6" spans="2:8">
      <c r="B6" t="s">
        <v>36</v>
      </c>
      <c r="C6" t="s">
        <v>34</v>
      </c>
      <c r="D6" t="s">
        <v>57</v>
      </c>
      <c r="E6" s="4">
        <v>5</v>
      </c>
    </row>
    <row r="7" spans="2:8">
      <c r="B7" t="s">
        <v>40</v>
      </c>
      <c r="C7" t="s">
        <v>34</v>
      </c>
      <c r="D7" t="s">
        <v>56</v>
      </c>
      <c r="E7" s="4">
        <v>3.5</v>
      </c>
    </row>
    <row r="8" spans="2:8">
      <c r="B8" t="s">
        <v>50</v>
      </c>
      <c r="C8" t="s">
        <v>34</v>
      </c>
      <c r="D8" t="s">
        <v>57</v>
      </c>
      <c r="E8" s="4">
        <v>5</v>
      </c>
    </row>
    <row r="9" spans="2:8">
      <c r="C9" t="s">
        <v>48</v>
      </c>
      <c r="D9" t="s">
        <v>56</v>
      </c>
      <c r="E9" s="4">
        <v>2</v>
      </c>
    </row>
    <row r="10" spans="2:8">
      <c r="B10" t="s">
        <v>58</v>
      </c>
      <c r="E10" s="4">
        <v>3.5</v>
      </c>
    </row>
  </sheetData>
  <sheetProtection pivotTables="0"/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2026-04-10T04:33:34Z</dcterms:created>
  <dcterms:modified xsi:type="dcterms:W3CDTF">2026-04-10T07:28:10Z</dcterms:modified>
  <cp:category/>
  <cp:contentStatus/>
</cp:coreProperties>
</file>