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027rag\Downloads\"/>
    </mc:Choice>
  </mc:AlternateContent>
  <xr:revisionPtr revIDLastSave="0" documentId="8_{B30FF329-803E-46B6-BDB5-31CBF228A9A9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Detail1" sheetId="17" r:id="rId1"/>
    <sheet name="Summary" sheetId="11" r:id="rId2"/>
    <sheet name="TRNG Data" sheetId="6" r:id="rId3"/>
    <sheet name="B_C" sheetId="15" state="hidden" r:id="rId4"/>
  </sheets>
  <definedNames>
    <definedName name="_xlnm._FilterDatabase" localSheetId="3" hidden="1">B_C!$A$1:$B$2</definedName>
    <definedName name="_xlnm._FilterDatabase" localSheetId="2" hidden="1">'TRNG Data'!$A$1:$L$285</definedName>
  </definedNames>
  <calcPr calcId="191028"/>
  <pivotCaches>
    <pivotCache cacheId="194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L2" i="6"/>
  <c r="L6" i="6"/>
  <c r="K6" i="6"/>
  <c r="L3" i="6"/>
  <c r="L4" i="6"/>
  <c r="L5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K162" i="6"/>
  <c r="K3" i="6"/>
  <c r="K4" i="6"/>
  <c r="K5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</calcChain>
</file>

<file path=xl/sharedStrings.xml><?xml version="1.0" encoding="utf-8"?>
<sst xmlns="http://schemas.openxmlformats.org/spreadsheetml/2006/main" count="1244" uniqueCount="619">
  <si>
    <t>Details for Count of Name - Dept: DWNL, Eligibility_Result: Eligible</t>
  </si>
  <si>
    <t>E_code</t>
  </si>
  <si>
    <t>Dept</t>
  </si>
  <si>
    <t>Name</t>
  </si>
  <si>
    <t>Email Id</t>
  </si>
  <si>
    <t>Designation</t>
  </si>
  <si>
    <t>Camera Tool/Filter</t>
  </si>
  <si>
    <t>Table / Consolidate</t>
  </si>
  <si>
    <t>Thoughtfulness</t>
  </si>
  <si>
    <t>Can Do</t>
  </si>
  <si>
    <t>Escape Room - 1</t>
  </si>
  <si>
    <t>Eligibility_Result</t>
  </si>
  <si>
    <t>DWNL</t>
  </si>
  <si>
    <t>Sushil Ghorpade</t>
  </si>
  <si>
    <t>sushil_ghorpade@cathaypacific.com</t>
  </si>
  <si>
    <t>Junior Officer</t>
  </si>
  <si>
    <t>Eligible</t>
  </si>
  <si>
    <t>Pushkar Pethe</t>
  </si>
  <si>
    <t>pushkar_pethe@cathaypacific.com</t>
  </si>
  <si>
    <t>Senior Officer</t>
  </si>
  <si>
    <t>Anita Rathod</t>
  </si>
  <si>
    <t>anita_rathod@cathaypacific.com</t>
  </si>
  <si>
    <t>Count of Name</t>
  </si>
  <si>
    <t>Not Eligible</t>
  </si>
  <si>
    <t>No Training Done</t>
  </si>
  <si>
    <t>ACQ / CHL</t>
  </si>
  <si>
    <t>--</t>
  </si>
  <si>
    <t>ADMIN</t>
  </si>
  <si>
    <t>DBT</t>
  </si>
  <si>
    <t>DCQ</t>
  </si>
  <si>
    <t>FARES</t>
  </si>
  <si>
    <t>FIN</t>
  </si>
  <si>
    <t>FLTB</t>
  </si>
  <si>
    <t>FOP</t>
  </si>
  <si>
    <t>HR</t>
  </si>
  <si>
    <t>HtR</t>
  </si>
  <si>
    <t>IET</t>
  </si>
  <si>
    <t xml:space="preserve"> </t>
  </si>
  <si>
    <t>IT</t>
  </si>
  <si>
    <t>NCT</t>
  </si>
  <si>
    <t>PRT</t>
  </si>
  <si>
    <t>SSR</t>
  </si>
  <si>
    <t>Grand Total</t>
  </si>
  <si>
    <t>Days_Cross</t>
  </si>
  <si>
    <t>Mail_Sent</t>
  </si>
  <si>
    <t>A Ramesh</t>
  </si>
  <si>
    <t>V027ARM@cathaypacific.com</t>
  </si>
  <si>
    <t>Aafiya Siddiqui</t>
  </si>
  <si>
    <t>V027AAA@cathaypacific.com</t>
  </si>
  <si>
    <t>Aashna Momin</t>
  </si>
  <si>
    <t>V027AAS@cathaypacific.com</t>
  </si>
  <si>
    <t xml:space="preserve">Abdul Rahman Khan </t>
  </si>
  <si>
    <t>V027AKT@cathaypacific.com</t>
  </si>
  <si>
    <t>Abhijit Bandal</t>
  </si>
  <si>
    <t>abhijit_bandal@cathaypacific.com</t>
  </si>
  <si>
    <t>Abhijit Khule</t>
  </si>
  <si>
    <t>abhijit_khule@cathaypacific.com</t>
  </si>
  <si>
    <t>Loading Specialist</t>
  </si>
  <si>
    <t>Abhinay Ahire</t>
  </si>
  <si>
    <t>abhinay_ahire@cathaypacific.com</t>
  </si>
  <si>
    <t>Ajinkya Lepkar</t>
  </si>
  <si>
    <t>V027AJL@cathaypacific.com</t>
  </si>
  <si>
    <t>Ajit Babar</t>
  </si>
  <si>
    <t>ajit_babar@cathaypacific.com</t>
  </si>
  <si>
    <t>Inventory Specialist</t>
  </si>
  <si>
    <t xml:space="preserve">Akbar Ahmed Hashmi </t>
  </si>
  <si>
    <t>V027AHA@cathaypacific.com</t>
  </si>
  <si>
    <t>Akshay Poojari</t>
  </si>
  <si>
    <t>V027AKP@cathaypacific.com</t>
  </si>
  <si>
    <t>Akshay Salian</t>
  </si>
  <si>
    <t>V027AKS@cathaypacific.com</t>
  </si>
  <si>
    <t>Personnel Administrator</t>
  </si>
  <si>
    <t xml:space="preserve">Akshay Takale </t>
  </si>
  <si>
    <t>V027AAT@cathaypacific.com</t>
  </si>
  <si>
    <t xml:space="preserve">Amarjit Yadav </t>
  </si>
  <si>
    <t>amarjit_yadav@cathaypacific.com</t>
  </si>
  <si>
    <t>Amey Kale</t>
  </si>
  <si>
    <t>amey_kale@cathaypacific.com</t>
  </si>
  <si>
    <t>Ameya Saraf</t>
  </si>
  <si>
    <t>V027AMS@cathaypacific.com</t>
  </si>
  <si>
    <t>Amit Jadhav</t>
  </si>
  <si>
    <t>V027AMJ@cathaypacific.com</t>
  </si>
  <si>
    <t xml:space="preserve">Amol Amale </t>
  </si>
  <si>
    <t>V027AMA@cathaypacific.com</t>
  </si>
  <si>
    <t xml:space="preserve">Anil Joshi </t>
  </si>
  <si>
    <t>V027ANJ@cathaypacific.com</t>
  </si>
  <si>
    <t>Anil Mathews</t>
  </si>
  <si>
    <t>anil_mathews@cathaypacific.com</t>
  </si>
  <si>
    <t>Ankit Jain</t>
  </si>
  <si>
    <t>ankit_jain@cathaypacific.com</t>
  </si>
  <si>
    <t>Ankita Desale</t>
  </si>
  <si>
    <t>V027AND@cathaypacific.com</t>
  </si>
  <si>
    <t>Anmol Koparde</t>
  </si>
  <si>
    <t>V027ANK@cathaypacific.com</t>
  </si>
  <si>
    <t>Ansari Abdul</t>
  </si>
  <si>
    <t>ansari_abdul@cathaypacific.com</t>
  </si>
  <si>
    <t>Yes</t>
  </si>
  <si>
    <t>Anushree Pujari</t>
  </si>
  <si>
    <t>V027ANP@cathaypacific.com</t>
  </si>
  <si>
    <t>ACQ/CHL</t>
  </si>
  <si>
    <t>Aparna Joshi</t>
  </si>
  <si>
    <t>CPPAPJ@cathaypacific.com</t>
  </si>
  <si>
    <t>Apurva Hate</t>
  </si>
  <si>
    <t>apurva_hate@cathaypacific.com</t>
  </si>
  <si>
    <t>Aqsa Khan</t>
  </si>
  <si>
    <t>V027AQK@cathaypacific.com</t>
  </si>
  <si>
    <t xml:space="preserve">Arfat Bashe </t>
  </si>
  <si>
    <t>V027AAB@cathaypacific.com</t>
  </si>
  <si>
    <t>Arpita Kantol</t>
  </si>
  <si>
    <t>arpita_kantol@cathaypacific.com</t>
  </si>
  <si>
    <t>Asawary Dalvi</t>
  </si>
  <si>
    <t>V027ASD@cathaypacific.com</t>
  </si>
  <si>
    <t>Ashwin Jadhav</t>
  </si>
  <si>
    <t>V027ASJ@cathaypacific.com</t>
  </si>
  <si>
    <t>Asifiqbal Matte</t>
  </si>
  <si>
    <t>asifiqbal_matte@cathaypacific.com</t>
  </si>
  <si>
    <t>Aswathy Gopakumar</t>
  </si>
  <si>
    <t>V027AAG@cathaypacific.com</t>
  </si>
  <si>
    <t>Azhar Mohammad</t>
  </si>
  <si>
    <t>azhar_mohammad@cathaypacific.com</t>
  </si>
  <si>
    <t xml:space="preserve">Azharuddin Shaikh </t>
  </si>
  <si>
    <t>V027AZS@cathaypacific.com</t>
  </si>
  <si>
    <t>Bhagyashree Sharma</t>
  </si>
  <si>
    <t>V027BSS@cathaypacific.com</t>
  </si>
  <si>
    <t>Bhavesh Bhatia</t>
  </si>
  <si>
    <t>V027BHA@cathaypacific.com</t>
  </si>
  <si>
    <t>Bhavesh Patil</t>
  </si>
  <si>
    <t>V027BHP@cathaypacific.com</t>
  </si>
  <si>
    <t>Bhavika Bhosle</t>
  </si>
  <si>
    <t>V027BBB@cathaypacific.com</t>
  </si>
  <si>
    <t>Bhushan Badgujar</t>
  </si>
  <si>
    <t>V027BBR@cathaypacific.com</t>
  </si>
  <si>
    <t xml:space="preserve">Chandrakant Bagul </t>
  </si>
  <si>
    <t>V027CBA@cathaypacific.com</t>
  </si>
  <si>
    <t>Chandrashekhar Padashetty</t>
  </si>
  <si>
    <t>c_padashetty@cathaypacific.com</t>
  </si>
  <si>
    <t>Chetan Badkas</t>
  </si>
  <si>
    <t>V027CHB@cathaypacific.com</t>
  </si>
  <si>
    <t>Chetan Bavakar</t>
  </si>
  <si>
    <t>chetan_bavakar@cathaypacific.com</t>
  </si>
  <si>
    <t>Clevita Leitao</t>
  </si>
  <si>
    <t>V027CLL@cathaypacific.com</t>
  </si>
  <si>
    <t>Daksha Deveriya</t>
  </si>
  <si>
    <t>V027DDD@cathaypacific.com</t>
  </si>
  <si>
    <t>Darshan Satra</t>
  </si>
  <si>
    <t>V027BDS@cathaypacific.com</t>
  </si>
  <si>
    <t>Darshana Chunekar</t>
  </si>
  <si>
    <t>darshana_chunekar@cathaypacific.com</t>
  </si>
  <si>
    <t xml:space="preserve">Darshana Jadhav </t>
  </si>
  <si>
    <t>V027DDJ@cathaypacific.com</t>
  </si>
  <si>
    <t>Darshana Keni</t>
  </si>
  <si>
    <t>darshana_keni@cathaypacific.com</t>
  </si>
  <si>
    <t>Deepak Gaikwad</t>
  </si>
  <si>
    <t>V027DDG@cathaypacific.com</t>
  </si>
  <si>
    <t>Deepak Pawar</t>
  </si>
  <si>
    <t>deepak_pawar@cathaypacific.com</t>
  </si>
  <si>
    <t>Deepak Rajguru</t>
  </si>
  <si>
    <t>deepak_rajguru@cathaypacific.com</t>
  </si>
  <si>
    <t>Deepak Rawat</t>
  </si>
  <si>
    <t>V027DER@cathaypacific.com</t>
  </si>
  <si>
    <t xml:space="preserve">Deepika Mayangade </t>
  </si>
  <si>
    <t>deepika_mayangade@cathaypacific.com</t>
  </si>
  <si>
    <t>Devang Sandesara</t>
  </si>
  <si>
    <t>V027DES@cathaypacific.com</t>
  </si>
  <si>
    <t xml:space="preserve">Dheerajkumar Choudhari </t>
  </si>
  <si>
    <t>V027DDC@cathaypacific.com</t>
  </si>
  <si>
    <t>Dhiraj Singh</t>
  </si>
  <si>
    <t>dhiraj_singh@cathaypacific.com</t>
  </si>
  <si>
    <t>Dileep Kanaujia</t>
  </si>
  <si>
    <t>v027ddk@cathaypacific.com</t>
  </si>
  <si>
    <t>Dinesh Gaikwad</t>
  </si>
  <si>
    <t>V027DIG@cathaypacific.com</t>
  </si>
  <si>
    <t xml:space="preserve">Dinesh Gopale </t>
  </si>
  <si>
    <t>dinesh_gopale@cathaypacific.com</t>
  </si>
  <si>
    <t>Dipali Jadhav</t>
  </si>
  <si>
    <t>v027dij@cathaypacific.com</t>
  </si>
  <si>
    <t>Dipali Sudi</t>
  </si>
  <si>
    <t>V027DDS@cathaypacific.com</t>
  </si>
  <si>
    <t>Facility Coordinator</t>
  </si>
  <si>
    <t>Durgesh Singh</t>
  </si>
  <si>
    <t>v027dus@cathaypacific.com</t>
  </si>
  <si>
    <t>Ellery Mendonsa</t>
  </si>
  <si>
    <t>ellery_mendonsa@cathaypacific.com</t>
  </si>
  <si>
    <t>Faizan Motiwala</t>
  </si>
  <si>
    <t>v027ffm@cathaypacific.com</t>
  </si>
  <si>
    <t>Faizan Shaikh</t>
  </si>
  <si>
    <t>V027FAS@cathaypacific.com</t>
  </si>
  <si>
    <t>Flavina Fernandes</t>
  </si>
  <si>
    <t>flavina_fernandes@cathaypacific.com</t>
  </si>
  <si>
    <t>Gayas Sait</t>
  </si>
  <si>
    <t>V027GAS@cathaypacific.com</t>
  </si>
  <si>
    <t>Harsha Salekar</t>
  </si>
  <si>
    <t>V027HHS@cathaypacific.com</t>
  </si>
  <si>
    <t>Harshada Ghate</t>
  </si>
  <si>
    <t>harshada_ghate@cathaypacific.com</t>
  </si>
  <si>
    <t>Harshada Sawant</t>
  </si>
  <si>
    <t>V027HAS@cathaypacific.com</t>
  </si>
  <si>
    <t>Harshal Karande</t>
  </si>
  <si>
    <t>v027hhk@cathaypacific.com</t>
  </si>
  <si>
    <t>Harvey De Souza</t>
  </si>
  <si>
    <t>v027hds@cathaypacific.com</t>
  </si>
  <si>
    <t>Himanshu Shardule</t>
  </si>
  <si>
    <t>himanshu_shardule@cathaypacific.com</t>
  </si>
  <si>
    <t xml:space="preserve">Hrishikesh Kelkar </t>
  </si>
  <si>
    <t>hrishikesh_kelkar@cathaypacific.com</t>
  </si>
  <si>
    <t>Ishan Jathar</t>
  </si>
  <si>
    <t>V027ISJ@cathaypacific.com</t>
  </si>
  <si>
    <t>Janhavi Sonawane</t>
  </si>
  <si>
    <t>CPPJANS@cathaypacific.com</t>
  </si>
  <si>
    <t>Jashoda Gond</t>
  </si>
  <si>
    <t>V027JAG@cathaypacific.com</t>
  </si>
  <si>
    <t>Javed Khan</t>
  </si>
  <si>
    <t>v027jjk@cathaypacific.com</t>
  </si>
  <si>
    <t>Jayachandran Kurup</t>
  </si>
  <si>
    <t>jayachandran_kurup@cathaypacific.com</t>
  </si>
  <si>
    <t>Jaydeep Dabade</t>
  </si>
  <si>
    <t>V027JAD@cathaypacific.com</t>
  </si>
  <si>
    <t>Jayesh Prajapati</t>
  </si>
  <si>
    <t>v027jjp@cathaypacific.com</t>
  </si>
  <si>
    <t xml:space="preserve">Jignesh Solanki </t>
  </si>
  <si>
    <t>V027JIS@cathaypacific.com</t>
  </si>
  <si>
    <t>Johnson Williams</t>
  </si>
  <si>
    <t>v027jjw@cathaypacific.com</t>
  </si>
  <si>
    <t>Jorlus D’britto</t>
  </si>
  <si>
    <t>jorlus_dbritto@cathaypacific.com</t>
  </si>
  <si>
    <t>Jotsna Pereira</t>
  </si>
  <si>
    <t>jotsna_pereira@cathaypacific.com</t>
  </si>
  <si>
    <t>Jovita Lobo</t>
  </si>
  <si>
    <t>V027ZOL@cathaypacific.com</t>
  </si>
  <si>
    <t>Jyotsna Patankar</t>
  </si>
  <si>
    <t>jyotsna_patankar@cathaypacific.com</t>
  </si>
  <si>
    <t xml:space="preserve">Kalpesh Deore </t>
  </si>
  <si>
    <t>v027kad@cathaypacific.com</t>
  </si>
  <si>
    <t>Kanchan Jaiswal</t>
  </si>
  <si>
    <t>V027KKJ@cathaypacific.com</t>
  </si>
  <si>
    <t>Kanchan Surve</t>
  </si>
  <si>
    <t>kanchan_surve@cathaypacific.com</t>
  </si>
  <si>
    <t>Karan Badade</t>
  </si>
  <si>
    <t>V027KKB@cathaypacific.com</t>
  </si>
  <si>
    <t xml:space="preserve">Kavita Malandkar </t>
  </si>
  <si>
    <t>kavita_malandkar@cathaypacific.com</t>
  </si>
  <si>
    <t>Ketan Aloni</t>
  </si>
  <si>
    <t>V027KEA@cathaypacific.com</t>
  </si>
  <si>
    <t>Ketan Hande</t>
  </si>
  <si>
    <t>ketan_hande@cathaypacific.com</t>
  </si>
  <si>
    <t>Ketan Shelar</t>
  </si>
  <si>
    <t>V027KKS@cathaypacific.com</t>
  </si>
  <si>
    <t>Ketan Wadkar</t>
  </si>
  <si>
    <t>v027kkw@cathaypacific.com</t>
  </si>
  <si>
    <t>Khan Israr</t>
  </si>
  <si>
    <t>khan_israr@cathaypacific.com</t>
  </si>
  <si>
    <t>Kiran Gambhir</t>
  </si>
  <si>
    <t>kiran_gambhir@cathaypacific.com</t>
  </si>
  <si>
    <t>Kiran Lad</t>
  </si>
  <si>
    <t>v027kil@cathaypacific.com</t>
  </si>
  <si>
    <t>Krishnakant Gupta</t>
  </si>
  <si>
    <t>Krishnakant_Gupta@cathaypacific.com</t>
  </si>
  <si>
    <t>Krutika Mhatre</t>
  </si>
  <si>
    <t>v027kkm@cathaypacific.com</t>
  </si>
  <si>
    <t>Kuna Bhoir</t>
  </si>
  <si>
    <t>kuna_bhoir@cathaypacific.com</t>
  </si>
  <si>
    <t>Laxmi Naidu</t>
  </si>
  <si>
    <t>laxmi_naidu@cathaypacific.com</t>
  </si>
  <si>
    <t xml:space="preserve">Laxmi Prajapati </t>
  </si>
  <si>
    <t>V027LAX@cathaypacific.com</t>
  </si>
  <si>
    <t>Leena Kirti</t>
  </si>
  <si>
    <t>leena_kirti@cathaypacific.com</t>
  </si>
  <si>
    <t>Lokesh Poojary</t>
  </si>
  <si>
    <t>lokesh_poojary@cathaypacific.com</t>
  </si>
  <si>
    <t>Madhuri Alahit</t>
  </si>
  <si>
    <t>madhuri_alahit@cathaypacific.com</t>
  </si>
  <si>
    <t>Mahesh Lohakare</t>
  </si>
  <si>
    <t>V027MML@cathaypacific.com</t>
  </si>
  <si>
    <t>Mahesh Modak</t>
  </si>
  <si>
    <t>mah_mm_modak@cathaypacific.com</t>
  </si>
  <si>
    <t>Mandar Warang</t>
  </si>
  <si>
    <t>mandar_warang@cathaypacific.com</t>
  </si>
  <si>
    <t xml:space="preserve">Yashashree Manjrekar </t>
  </si>
  <si>
    <t>yashashree_manjrekar@cathaypacific.com</t>
  </si>
  <si>
    <t>Manoj Nimse</t>
  </si>
  <si>
    <t>manoj_nimse@cathaypacific.com</t>
  </si>
  <si>
    <t>Manoj Patil</t>
  </si>
  <si>
    <t>manoj_patil@cathaypacific.com</t>
  </si>
  <si>
    <t xml:space="preserve">Manoj Salunke </t>
  </si>
  <si>
    <t>cppmsa@cathaypacific.com</t>
  </si>
  <si>
    <t>Marlyn Fernandes</t>
  </si>
  <si>
    <t>v027mfd@cathaypacific.com</t>
  </si>
  <si>
    <t xml:space="preserve">Martina Parampogu </t>
  </si>
  <si>
    <t>v027mmp@cathaypacific.com</t>
  </si>
  <si>
    <t>Maxson D'Britto</t>
  </si>
  <si>
    <t>maxson_dbritto@cathaypacific.com</t>
  </si>
  <si>
    <t>Maya Makwana</t>
  </si>
  <si>
    <t>V027MAM@cathaypacific.com</t>
  </si>
  <si>
    <t>Mayuresh Samarth</t>
  </si>
  <si>
    <t>mayuresh_samarth@cathaypacific.com</t>
  </si>
  <si>
    <t>Mayuri Joshi</t>
  </si>
  <si>
    <t>v027mmj@cathaypacific.com</t>
  </si>
  <si>
    <t>Mayuri Kadam</t>
  </si>
  <si>
    <t>V027KAM@cathaypacific.com</t>
  </si>
  <si>
    <t>Megha Zunjarrao</t>
  </si>
  <si>
    <t>megha_zunjarrao@cathaypacific.com</t>
  </si>
  <si>
    <t xml:space="preserve">Michael Joseph </t>
  </si>
  <si>
    <t>michael_joseph@cathaypacific.com</t>
  </si>
  <si>
    <t>Minal Potphode</t>
  </si>
  <si>
    <t>minal_potphode@cathaypacific.com</t>
  </si>
  <si>
    <t xml:space="preserve">Mita Engineer </t>
  </si>
  <si>
    <t>V027MIE@cathaypacific.com</t>
  </si>
  <si>
    <t>Mohammad Adil Babuji</t>
  </si>
  <si>
    <t>V027MOB@cathaypacific.com</t>
  </si>
  <si>
    <t>Mohammed Nadeem Shaikh</t>
  </si>
  <si>
    <t>v027mms@cathaypacific.com</t>
  </si>
  <si>
    <t>Monali More</t>
  </si>
  <si>
    <t>V027MOM@cathaypacific.com</t>
  </si>
  <si>
    <t>Mrunal Deshmukh</t>
  </si>
  <si>
    <t>V027DEM@cathaypacific.com</t>
  </si>
  <si>
    <t xml:space="preserve">Mrunal Khochare </t>
  </si>
  <si>
    <t>V027MRK@cathaypacific.com</t>
  </si>
  <si>
    <t>Muriel Dcosta</t>
  </si>
  <si>
    <t>V027MUD@cathaypacific.com</t>
  </si>
  <si>
    <t xml:space="preserve">Mustaqeem Patwekar </t>
  </si>
  <si>
    <t>V027MUP@cathaypacific.com</t>
  </si>
  <si>
    <t xml:space="preserve">Nafees Hussain Sayyed </t>
  </si>
  <si>
    <t>V027NHS@cathaypacific.com</t>
  </si>
  <si>
    <t>Naimuddin Shaikh</t>
  </si>
  <si>
    <t>V027NNS@cathaypacific.com</t>
  </si>
  <si>
    <t>Narendra Chawan</t>
  </si>
  <si>
    <t>V027NAC@cathaypacific.com</t>
  </si>
  <si>
    <t>Nikita Godambe</t>
  </si>
  <si>
    <t>nikita_godambe@cathaypacific.com</t>
  </si>
  <si>
    <t>Nikita Manjarekar</t>
  </si>
  <si>
    <t>nikita_manjarekar@cathaypacific.com</t>
  </si>
  <si>
    <t>Nilesh Raghavan</t>
  </si>
  <si>
    <t>nilesh_raghavan@cathaypacific.com</t>
  </si>
  <si>
    <t xml:space="preserve">Niteen Bhosale </t>
  </si>
  <si>
    <t>v027nib@cathaypacific.com</t>
  </si>
  <si>
    <t>Nitesh Kadam</t>
  </si>
  <si>
    <t>V027NIK@cathaypacific.com</t>
  </si>
  <si>
    <t xml:space="preserve">Nitesh Kadam </t>
  </si>
  <si>
    <t>V027KAN@cathaypacific.com</t>
  </si>
  <si>
    <t>Nitesh Poojary</t>
  </si>
  <si>
    <t>nitesh_poojary@cathaypacific.com</t>
  </si>
  <si>
    <t>Nitin Bhise</t>
  </si>
  <si>
    <t>V027NBE@cathaypacific.com</t>
  </si>
  <si>
    <t>Nitin Hangekar</t>
  </si>
  <si>
    <t>nitin_hangekar@cathaypacific.com</t>
  </si>
  <si>
    <t xml:space="preserve">Nitin Sondkar </t>
  </si>
  <si>
    <t>v027nit@cathaypacific.com</t>
  </si>
  <si>
    <t>Nuzah Roghay</t>
  </si>
  <si>
    <t>nuzah_roghay@cathaypacific.com</t>
  </si>
  <si>
    <t>Pascol D'Souza</t>
  </si>
  <si>
    <t>pascol_souza@cathaypacific.com</t>
  </si>
  <si>
    <t>Pooja Jethva</t>
  </si>
  <si>
    <t>V027POJ@cathaypacific.com</t>
  </si>
  <si>
    <t>Pooja Khanna</t>
  </si>
  <si>
    <t>v027pok@cathaypacific.com</t>
  </si>
  <si>
    <t>Pooja Mundekar</t>
  </si>
  <si>
    <t>V027POM@cathaypacific.com</t>
  </si>
  <si>
    <t>Pooja Naik</t>
  </si>
  <si>
    <t>v027pon@cathaypacific.com</t>
  </si>
  <si>
    <t>Prachi Birvadkar</t>
  </si>
  <si>
    <t>prachi_birvadkar@cathaypacific.com</t>
  </si>
  <si>
    <t xml:space="preserve">Prachi Dudwadkar </t>
  </si>
  <si>
    <t>v027bpp@cathaypacific.com</t>
  </si>
  <si>
    <t>Pradeep Jagtap</t>
  </si>
  <si>
    <t>V027PRJ@cathaypacific.com</t>
  </si>
  <si>
    <t>Praful Kamble</t>
  </si>
  <si>
    <t>v027ppk@cathaypacific.com</t>
  </si>
  <si>
    <t>Prasad Gosavi</t>
  </si>
  <si>
    <t>prasad_gosavi@cathaypacific.com</t>
  </si>
  <si>
    <t>Prasad Khule</t>
  </si>
  <si>
    <t>prasad_khule@cathaypacific.com</t>
  </si>
  <si>
    <t>Prashant Bhekat</t>
  </si>
  <si>
    <t>prashant_bhekat@cathaypacific.com</t>
  </si>
  <si>
    <t>Prashant Haldankar</t>
  </si>
  <si>
    <t>CPPPRH@cathaypacific.com</t>
  </si>
  <si>
    <t>Prashant Sawant</t>
  </si>
  <si>
    <t>V027PPS@cathaypacific.com</t>
  </si>
  <si>
    <t xml:space="preserve">Prathamesh Sawant </t>
  </si>
  <si>
    <t>V027PRS@cathaypacific.com</t>
  </si>
  <si>
    <t>Prathamesh Tamne</t>
  </si>
  <si>
    <t>V027PRT@cathaypacific.com</t>
  </si>
  <si>
    <t xml:space="preserve">Pratik Hegde </t>
  </si>
  <si>
    <t>v027bph@cathaypacific.com</t>
  </si>
  <si>
    <t xml:space="preserve">Pravin Shinde </t>
  </si>
  <si>
    <t>V027PRA@cathaypacific.com</t>
  </si>
  <si>
    <t>Pravin Walam</t>
  </si>
  <si>
    <t>V027PPW@cathaypacific.com</t>
  </si>
  <si>
    <t>Preeti Patil</t>
  </si>
  <si>
    <t>V027PRP@cathaypacific.com</t>
  </si>
  <si>
    <t>Preeti Tejani</t>
  </si>
  <si>
    <t>preeti_tejani@cathaypacific.com</t>
  </si>
  <si>
    <t>Priyanka Nijap</t>
  </si>
  <si>
    <t>priyanka_nijap@cathaypacific.com</t>
  </si>
  <si>
    <t>Priyanka Parab</t>
  </si>
  <si>
    <t>CPPPRIP@cathaypacific.com</t>
  </si>
  <si>
    <t>Priyanka Zagade</t>
  </si>
  <si>
    <t>v027prz@cathaypacific.com</t>
  </si>
  <si>
    <t>Pupul Gavit</t>
  </si>
  <si>
    <t>v027ppg@cathaypacific.com</t>
  </si>
  <si>
    <t>Rachana Kamble</t>
  </si>
  <si>
    <t>v027rrk@cathaypacific.com</t>
  </si>
  <si>
    <t xml:space="preserve">Rahul Agedkar </t>
  </si>
  <si>
    <t>rahul_agedkar@cathaypacific.com</t>
  </si>
  <si>
    <t>Rahul Goraksha</t>
  </si>
  <si>
    <t>V027RAG@cathaypacific.com</t>
  </si>
  <si>
    <t>Business Analyst</t>
  </si>
  <si>
    <t>Rahul Palkar</t>
  </si>
  <si>
    <t>v027rrp@cathaypacific.com</t>
  </si>
  <si>
    <t>Raj Raut</t>
  </si>
  <si>
    <t>v027rrr@cathaypacific.com</t>
  </si>
  <si>
    <t xml:space="preserve">Rajendra Gautam </t>
  </si>
  <si>
    <t>rajendra_gautam@cathaypacific.com</t>
  </si>
  <si>
    <t>Rajendra Ugade</t>
  </si>
  <si>
    <t>v027rau@cathaypacific.com</t>
  </si>
  <si>
    <t>Rajesh Kahar</t>
  </si>
  <si>
    <t>V027RJK@cathaypacific.com</t>
  </si>
  <si>
    <t>Rajesh Singh</t>
  </si>
  <si>
    <t>V027RAS@cathaypacific.com</t>
  </si>
  <si>
    <t>Raju Yadav</t>
  </si>
  <si>
    <t>raju_yadav@cathaypacific.com</t>
  </si>
  <si>
    <t>Ramchandran Kannan</t>
  </si>
  <si>
    <t>V027RAK@cathaypacific.com</t>
  </si>
  <si>
    <t xml:space="preserve">Rani Gaikwad </t>
  </si>
  <si>
    <t>V027RRG@cathaypacific.com</t>
  </si>
  <si>
    <t>Ravindra Patil</t>
  </si>
  <si>
    <t>ravindra_patil@cathaypacific.com</t>
  </si>
  <si>
    <t>Reshma Chavan</t>
  </si>
  <si>
    <t>v027rrc@cathaypacific.com</t>
  </si>
  <si>
    <t>Ritu Montero</t>
  </si>
  <si>
    <t>V027RRM@cathaypacific.com</t>
  </si>
  <si>
    <t>Robin Thomas</t>
  </si>
  <si>
    <t>V027ROT@cathaypacific.com</t>
  </si>
  <si>
    <t>Rodrigues Swapnil</t>
  </si>
  <si>
    <t>swapnil_rodrigues@cathaypacific.com</t>
  </si>
  <si>
    <t>Rohan Kalambe</t>
  </si>
  <si>
    <t>V027RK@cathaypacific.com</t>
  </si>
  <si>
    <t>Rohan Lopes</t>
  </si>
  <si>
    <t>rohan_lopes@cathaypacific.com</t>
  </si>
  <si>
    <t>Rohit Mainkar</t>
  </si>
  <si>
    <t>V027ROM@cathaypacific.com</t>
  </si>
  <si>
    <t>Roshani Patole</t>
  </si>
  <si>
    <t>V027PRR@cathaypacific.com</t>
  </si>
  <si>
    <t>Ruchira Mest</t>
  </si>
  <si>
    <t>v027rum@cathaypacific.com</t>
  </si>
  <si>
    <t>Rupali Pardeshi</t>
  </si>
  <si>
    <t>rupali_paradeshi@cathaypacific.com</t>
  </si>
  <si>
    <t xml:space="preserve">Rupali Pawar </t>
  </si>
  <si>
    <t>V027RUP@cathaypacific.com</t>
  </si>
  <si>
    <t>Rutika Dubal</t>
  </si>
  <si>
    <t>V027RUD@cathaypacific.com</t>
  </si>
  <si>
    <t xml:space="preserve">Sachin Bangera </t>
  </si>
  <si>
    <t>Sachin_Bangera@cathaypacific.com</t>
  </si>
  <si>
    <t>Sachin Dafle</t>
  </si>
  <si>
    <t>v027ssd@cathaypacific.com</t>
  </si>
  <si>
    <t>Sachin Gaikwad</t>
  </si>
  <si>
    <t>V027SSW@cathaypacific.com</t>
  </si>
  <si>
    <t>Sachin Mali</t>
  </si>
  <si>
    <t>v027sasm@cathaypacific.com</t>
  </si>
  <si>
    <t>Sachin Nishad</t>
  </si>
  <si>
    <t>V027SSM@cathaypacific.com</t>
  </si>
  <si>
    <t>Sachin Pawshe</t>
  </si>
  <si>
    <t>V027PAS@cathaypacific.com</t>
  </si>
  <si>
    <t>Sadaf Husain Shaikh</t>
  </si>
  <si>
    <t>V027SSS@cathaypacific.com</t>
  </si>
  <si>
    <t>Sagar Jagzap</t>
  </si>
  <si>
    <t>v027ssj@cathaypacific.com</t>
  </si>
  <si>
    <t>Sagar Kosambi</t>
  </si>
  <si>
    <t>sagar_kosambi@cathaypacific.com</t>
  </si>
  <si>
    <t xml:space="preserve">Sagar Purat </t>
  </si>
  <si>
    <t>V027PUS@cathaypacific.com</t>
  </si>
  <si>
    <t>Sagar Shedge</t>
  </si>
  <si>
    <t>sagar_shedge@cathaypacific.com</t>
  </si>
  <si>
    <t>Sammy Almeida</t>
  </si>
  <si>
    <t>sammy_almeida@cathaypacific.com</t>
  </si>
  <si>
    <t>Sandeep Mane</t>
  </si>
  <si>
    <t>sandeep_mane@cathaypacific.com</t>
  </si>
  <si>
    <t>Sandeep Pandhare</t>
  </si>
  <si>
    <t>V027SAP@cathaypacific.com</t>
  </si>
  <si>
    <t>Sangeeta Kotian</t>
  </si>
  <si>
    <t>Sangeeta_Kotian@cathaypacific.com</t>
  </si>
  <si>
    <t xml:space="preserve">Sangpal Bagul </t>
  </si>
  <si>
    <t>sangpal_bagul@cathaypacific.com</t>
  </si>
  <si>
    <t xml:space="preserve">Sangram Pawar </t>
  </si>
  <si>
    <t>v027saw@cathaypacific.com</t>
  </si>
  <si>
    <t>Sanjay Rawat</t>
  </si>
  <si>
    <t>V027RSS@cathaypacific.com</t>
  </si>
  <si>
    <t>Sanket Kasle</t>
  </si>
  <si>
    <t>sanket_kasle@cathaypacific.com</t>
  </si>
  <si>
    <t>Santosh Jadhav</t>
  </si>
  <si>
    <t>santosh_jadhav@cathaypacific.com</t>
  </si>
  <si>
    <t>Santosh Kamath</t>
  </si>
  <si>
    <t>santosh_kamath@cathaypacific.com</t>
  </si>
  <si>
    <t>Sarfaraz Ansari</t>
  </si>
  <si>
    <t>V027ANS@cathaypacific.com</t>
  </si>
  <si>
    <t xml:space="preserve">Satish Jadhav </t>
  </si>
  <si>
    <t>Satish_Jadhav@cathaypacific.com</t>
  </si>
  <si>
    <t>Sayali Barhat</t>
  </si>
  <si>
    <t>V027SSB@cathaypacific.com</t>
  </si>
  <si>
    <t>Seema Solanki</t>
  </si>
  <si>
    <t>V027SES@cathaypacific.com</t>
  </si>
  <si>
    <t>Shagufta Retiwala</t>
  </si>
  <si>
    <t>v027ssr@cathaypacific.com</t>
  </si>
  <si>
    <t>Shailesh Parab</t>
  </si>
  <si>
    <t>V027SHP@cathaypacific.com</t>
  </si>
  <si>
    <t>Shams Pawaskar</t>
  </si>
  <si>
    <t>v027spa@cathaypacific.com</t>
  </si>
  <si>
    <t>Shankar Achari</t>
  </si>
  <si>
    <t>shankar_achari@cathaypacific.com</t>
  </si>
  <si>
    <t>Finance Specialist</t>
  </si>
  <si>
    <t>Sharon Thomas</t>
  </si>
  <si>
    <t>sharon_thomas@cathaypacific.com</t>
  </si>
  <si>
    <t>Shashank Jadhav</t>
  </si>
  <si>
    <t>shashank_jadhav@cathaypacific.com</t>
  </si>
  <si>
    <t>Shaziya Sayeed</t>
  </si>
  <si>
    <t>shaziya_sayeed@cathaypacific.com</t>
  </si>
  <si>
    <t>Shishir Pabrekar</t>
  </si>
  <si>
    <t>shishir_pabrekar@cathaypacific.com</t>
  </si>
  <si>
    <t>Shravan Acharya</t>
  </si>
  <si>
    <t>V027SHA@cathaypacific.com</t>
  </si>
  <si>
    <t>Shrunal Nangare</t>
  </si>
  <si>
    <t>shrunal_nangare@cathaypacific.com</t>
  </si>
  <si>
    <t>Shubham Khanvilkar</t>
  </si>
  <si>
    <t>V027KHS@cathaypacific.com</t>
  </si>
  <si>
    <t>Shweta Lokhande</t>
  </si>
  <si>
    <t>v027ssl@cathaypacific.com</t>
  </si>
  <si>
    <t>Shweta Sawant</t>
  </si>
  <si>
    <t>V027SHW@cathaypacific.com</t>
  </si>
  <si>
    <t xml:space="preserve">Shyamal Gaonkar </t>
  </si>
  <si>
    <t>V027SHG@cathaypacific.com</t>
  </si>
  <si>
    <t>Snehal Patil</t>
  </si>
  <si>
    <t>snehal_patil@cathaypacific.com</t>
  </si>
  <si>
    <t>Sonalee Korgaonkar</t>
  </si>
  <si>
    <t>V027SOK@cathaypacific.com</t>
  </si>
  <si>
    <t xml:space="preserve">Sonali Haraskar </t>
  </si>
  <si>
    <t>V027SSH@cathaypacific.com</t>
  </si>
  <si>
    <t>Stany Gomes</t>
  </si>
  <si>
    <t>stany_gomes@cathaypacific.com</t>
  </si>
  <si>
    <t>Suchita Chandorkar</t>
  </si>
  <si>
    <t>suchita_chandorkar@cathaypacific.com</t>
  </si>
  <si>
    <t>Sudhir Gauda</t>
  </si>
  <si>
    <t>V027SUG@cathaypacific.com</t>
  </si>
  <si>
    <t>Suhel Khan</t>
  </si>
  <si>
    <t>suhel_khan@cathaypacific.com</t>
  </si>
  <si>
    <t>Sujata Dhanapgol</t>
  </si>
  <si>
    <t>sujata_dhanapgol@cathaypacific.com</t>
  </si>
  <si>
    <t xml:space="preserve">Sumit Patil </t>
  </si>
  <si>
    <t>V027SUP@cathaypacific.com</t>
  </si>
  <si>
    <t>Sumit Todankar</t>
  </si>
  <si>
    <t>V027SUT@cathaypacific.com</t>
  </si>
  <si>
    <t xml:space="preserve">Sunil Bhosale </t>
  </si>
  <si>
    <t>sunil_bhosale@cathaypacific.com</t>
  </si>
  <si>
    <t>Sunil Pevekar</t>
  </si>
  <si>
    <t>sunil_pevekar@cathaypacific.com</t>
  </si>
  <si>
    <t>Supriya Hate</t>
  </si>
  <si>
    <t>supr_sh_hate@cathaypacific.com</t>
  </si>
  <si>
    <t>Suraraj Patil</t>
  </si>
  <si>
    <t>suraraj_patil@cathaypacific.com</t>
  </si>
  <si>
    <t>Sushant Patkar</t>
  </si>
  <si>
    <t>v027ssp@cathaypacific.com</t>
  </si>
  <si>
    <t>Swapnil Rahate</t>
  </si>
  <si>
    <t>swapnil_rahate@cathaypacific.com</t>
  </si>
  <si>
    <t xml:space="preserve">Swasti Pednekar </t>
  </si>
  <si>
    <t>V027SWP@cathaypacific.com</t>
  </si>
  <si>
    <t>Swati Saravade</t>
  </si>
  <si>
    <t>swati_saravade@cathaypacific.com</t>
  </si>
  <si>
    <t>Swati Yadav</t>
  </si>
  <si>
    <t>V027SSY@cathaypacific.com</t>
  </si>
  <si>
    <t>Sweetan Bhandu</t>
  </si>
  <si>
    <t>sweetan_bhandu@cathaypacific.com</t>
  </si>
  <si>
    <t>Ticketing Specialist</t>
  </si>
  <si>
    <t xml:space="preserve">Tanmeet Kaur Rathod </t>
  </si>
  <si>
    <t>V027TKR@cathaypacific.com</t>
  </si>
  <si>
    <t>Tanvi Ranwala</t>
  </si>
  <si>
    <t>tanvi_ranwala@cathaypacific.com</t>
  </si>
  <si>
    <t xml:space="preserve">Tejal Salunke </t>
  </si>
  <si>
    <t>V027SAT@cathaypacific.com</t>
  </si>
  <si>
    <t>Tejas Vanjari</t>
  </si>
  <si>
    <t>v027ttv@cathaypacific.com</t>
  </si>
  <si>
    <t>Trupti Chavan</t>
  </si>
  <si>
    <t>trupti_chavan@cathaypacific.com</t>
  </si>
  <si>
    <t>Tushar Ghodke</t>
  </si>
  <si>
    <t>tushar_ghodke@cathaypacific.com</t>
  </si>
  <si>
    <t xml:space="preserve">Umesh Godimani </t>
  </si>
  <si>
    <t>V027UG@cathaypacific.com</t>
  </si>
  <si>
    <t>Vaibhav Asolkar</t>
  </si>
  <si>
    <t>V027CCS@cathaypacific.com</t>
  </si>
  <si>
    <t>Vaibhavi Atale</t>
  </si>
  <si>
    <t>V027VAA@cathaypacific.com</t>
  </si>
  <si>
    <t>Vibhavari Khandekar</t>
  </si>
  <si>
    <t>vibhavari_khandekar@cathaypacific.com</t>
  </si>
  <si>
    <t>Vidya Kadam</t>
  </si>
  <si>
    <t>vidya_kadam@cathaypacific.com</t>
  </si>
  <si>
    <t>Vikram Lohar</t>
  </si>
  <si>
    <t>V027VIL@cathaypacific.com</t>
  </si>
  <si>
    <t>Vinay Thokle</t>
  </si>
  <si>
    <t>V027VIT@cathaypacific.com</t>
  </si>
  <si>
    <t xml:space="preserve">Vinayak Vahindekar </t>
  </si>
  <si>
    <t>v027viv@cathaypacific.com</t>
  </si>
  <si>
    <t>Vindhya Singh</t>
  </si>
  <si>
    <t>vindhya_singh@cathaypacific.com</t>
  </si>
  <si>
    <t>Vinod Patel</t>
  </si>
  <si>
    <t>V027PAV@cathaypacific.com</t>
  </si>
  <si>
    <t>Violet D'Souza</t>
  </si>
  <si>
    <t>violet_dsouza@cathaypacific.com</t>
  </si>
  <si>
    <t>Vishal Khira</t>
  </si>
  <si>
    <t>v027vik@cathaypacific.com</t>
  </si>
  <si>
    <t>Yasin Shaikh</t>
  </si>
  <si>
    <t>V027YAS@cathaypacific.com</t>
  </si>
  <si>
    <t>Yogesh Desai</t>
  </si>
  <si>
    <t>yogesh_desai@cathaypacific.com</t>
  </si>
  <si>
    <t>Yogesh Gaikwad</t>
  </si>
  <si>
    <t>yogesh_gaikwad@cathaypacific.com</t>
  </si>
  <si>
    <t>Zaheer Patel</t>
  </si>
  <si>
    <t>zaheer_patel@cathaypacific.com</t>
  </si>
  <si>
    <t>Zayyan Malvi</t>
  </si>
  <si>
    <t>V027ZZM@cathaypacific.com</t>
  </si>
  <si>
    <t>Supervisor_Email</t>
  </si>
  <si>
    <t>Assistant_Manager</t>
  </si>
  <si>
    <t>v027rag@cathaypacific.com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</si>
</sst>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 applyBorder="1"/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0" fontId="2" fillId="0" borderId="3" xfId="1" applyBorder="1"/>
    <xf numFmtId="0" fontId="0" fillId="0" borderId="5" xfId="0" applyBorder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4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1" fillId="0" borderId="9" xfId="0" applyNumberFormat="1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/>
    </xf>
    <xf numFmtId="0" fontId="2" fillId="0" borderId="11" xfId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1" applyBorder="1"/>
    <xf numFmtId="0" fontId="1" fillId="0" borderId="0" xfId="0" applyFont="1"/>
    <xf numFmtId="0" fontId="1" fillId="0" borderId="1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3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>
          <bgColor rgb="FFFFCCCC"/>
        </patternFill>
      </fill>
    </dxf>
    <dxf>
      <font>
        <color theme="0"/>
      </font>
    </dxf>
    <dxf>
      <fill>
        <patternFill>
          <fgColor rgb="FF99FF99"/>
          <bgColor rgb="FF99FF99"/>
        </patternFill>
      </fill>
    </dxf>
    <dxf>
      <fill>
        <patternFill>
          <bgColor rgb="FFFFCCCC"/>
        </patternFill>
      </fill>
    </dxf>
    <dxf>
      <numFmt numFmtId="19" formatCode="m/d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CCFFFF"/>
      <color rgb="FFFFCCCC"/>
      <color rgb="FF99FF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1C7EBC4-ADBB-44BD-BCA3-D49439B8BB34}"/>
  <namedSheetView name="View2" id="{64F7BFAA-7F4F-4A49-BDEC-0F99D8274A40}"/>
  <namedSheetView name="View3" id="{CB447B23-D962-460B-B080-75BCCC1C7B28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421753587965" createdVersion="8" refreshedVersion="8" minRefreshableVersion="3" recordCount="284" xr:uid="{F1E74991-1C85-4712-BFEC-43A481433229}">
  <cacheSource type="worksheet">
    <worksheetSource ref="A1:K285" sheet="TRNG Data"/>
  </cacheSource>
  <cacheFields count="11">
    <cacheField name="E_code" numFmtId="0">
      <sharedItems containsSemiMixedTypes="0" containsString="0" containsNumber="1" containsInteger="1" minValue="1" maxValue="284"/>
    </cacheField>
    <cacheField name="Dept" numFmtId="0">
      <sharedItems count="16">
        <s v="PRT"/>
        <s v="FOP"/>
        <s v="DCQ"/>
        <s v="IT"/>
        <s v="FARES"/>
        <s v="HtR"/>
        <s v="FLTB"/>
        <s v="IET"/>
        <s v="DWNL"/>
        <s v="ACQ / CHL"/>
        <s v="NCT"/>
        <s v="HR"/>
        <s v="SSR"/>
        <s v="ADMIN"/>
        <s v="DBT"/>
        <s v="FIN"/>
      </sharedItems>
    </cacheField>
    <cacheField name="Name" numFmtId="0">
      <sharedItems/>
    </cacheField>
    <cacheField name="Email Id" numFmtId="0">
      <sharedItems/>
    </cacheField>
    <cacheField name="Designation" numFmtId="0">
      <sharedItems/>
    </cacheField>
    <cacheField name="Camera Tool/Filter" numFmtId="164">
      <sharedItems containsNonDate="0" containsDate="1" containsString="0" containsBlank="1" minDate="2026-01-27T00:00:00" maxDate="2026-02-26T00:00:00"/>
    </cacheField>
    <cacheField name="Table / Consolidate" numFmtId="164">
      <sharedItems containsNonDate="0" containsDate="1" containsString="0" containsBlank="1" minDate="2026-03-02T00:00:00" maxDate="2026-03-26T00:00:00"/>
    </cacheField>
    <cacheField name="Thoughtfulness" numFmtId="164">
      <sharedItems containsNonDate="0" containsDate="1" containsString="0" containsBlank="1" minDate="2025-09-10T00:00:00" maxDate="2025-12-05T00:00:00"/>
    </cacheField>
    <cacheField name="Can Do" numFmtId="164">
      <sharedItems containsNonDate="0" containsDate="1" containsString="0" containsBlank="1" minDate="2025-10-28T00:00:00" maxDate="2025-12-17T00:00:00"/>
    </cacheField>
    <cacheField name="Escape Room - 1" numFmtId="164">
      <sharedItems containsNonDate="0" containsDate="1" containsString="0" containsBlank="1" minDate="2026-04-20T00:00:00" maxDate="2026-05-13T00:00:00"/>
    </cacheField>
    <cacheField name="Eligibility_Result" numFmtId="0">
      <sharedItems count="3">
        <s v="No Training Done"/>
        <s v="Not Eligible"/>
        <s v="Eligi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n v="1"/>
    <x v="0"/>
    <s v="A Ramesh"/>
    <s v="V027ARM@cathaypacific.com"/>
    <s v="Senior Officer"/>
    <m/>
    <m/>
    <m/>
    <m/>
    <m/>
    <x v="0"/>
  </r>
  <r>
    <n v="2"/>
    <x v="1"/>
    <s v="Aafiya Siddiqui"/>
    <s v="V027AAA@cathaypacific.com"/>
    <s v="Senior Officer"/>
    <m/>
    <m/>
    <m/>
    <m/>
    <d v="2026-04-28T00:00:00"/>
    <x v="1"/>
  </r>
  <r>
    <n v="3"/>
    <x v="2"/>
    <s v="Aashna Momin"/>
    <s v="V027AAS@cathaypacific.com"/>
    <s v="Junior Officer"/>
    <m/>
    <d v="2026-03-24T00:00:00"/>
    <m/>
    <m/>
    <d v="2026-05-11T00:00:00"/>
    <x v="1"/>
  </r>
  <r>
    <n v="4"/>
    <x v="0"/>
    <s v="Abdul Rahman Khan "/>
    <s v="V027AKT@cathaypacific.com"/>
    <s v="Senior Officer"/>
    <m/>
    <m/>
    <m/>
    <m/>
    <m/>
    <x v="0"/>
  </r>
  <r>
    <n v="5"/>
    <x v="3"/>
    <s v="Abhijit Bandal"/>
    <s v="abhijit_bandal@cathaypacific.com"/>
    <s v="Senior Officer"/>
    <m/>
    <m/>
    <d v="2025-09-24T00:00:00"/>
    <m/>
    <m/>
    <x v="2"/>
  </r>
  <r>
    <n v="6"/>
    <x v="4"/>
    <s v="Abhijit Khule"/>
    <s v="abhijit_khule@cathaypacific.com"/>
    <s v="Loading Specialist"/>
    <d v="2026-02-23T00:00:00"/>
    <d v="2026-03-16T00:00:00"/>
    <d v="2025-11-05T00:00:00"/>
    <m/>
    <d v="2026-04-23T00:00:00"/>
    <x v="1"/>
  </r>
  <r>
    <n v="7"/>
    <x v="4"/>
    <s v="Abhinay Ahire"/>
    <s v="abhinay_ahire@cathaypacific.com"/>
    <s v="Loading Specialist"/>
    <d v="2026-02-02T00:00:00"/>
    <d v="2026-03-05T00:00:00"/>
    <m/>
    <m/>
    <d v="2026-04-21T00:00:00"/>
    <x v="1"/>
  </r>
  <r>
    <n v="8"/>
    <x v="4"/>
    <s v="Ajinkya Lepkar"/>
    <s v="V027AJL@cathaypacific.com"/>
    <s v="Senior Officer"/>
    <d v="2026-02-13T00:00:00"/>
    <d v="2026-03-11T00:00:00"/>
    <d v="2025-10-10T00:00:00"/>
    <d v="2025-12-10T00:00:00"/>
    <d v="2026-04-23T00:00:00"/>
    <x v="1"/>
  </r>
  <r>
    <n v="9"/>
    <x v="0"/>
    <s v="Ajit Babar"/>
    <s v="ajit_babar@cathaypacific.com"/>
    <s v="Inventory Specialist"/>
    <m/>
    <m/>
    <d v="2025-10-10T00:00:00"/>
    <m/>
    <m/>
    <x v="2"/>
  </r>
  <r>
    <n v="10"/>
    <x v="4"/>
    <s v="Akbar Ahmed Hashmi "/>
    <s v="V027AHA@cathaypacific.com"/>
    <s v="Senior Officer"/>
    <m/>
    <m/>
    <d v="2025-09-19T00:00:00"/>
    <d v="2025-10-28T00:00:00"/>
    <d v="2026-04-29T00:00:00"/>
    <x v="1"/>
  </r>
  <r>
    <n v="11"/>
    <x v="4"/>
    <s v="Akshay Poojari"/>
    <s v="V027AKP@cathaypacific.com"/>
    <s v="Senior Officer"/>
    <d v="2026-02-17T00:00:00"/>
    <d v="2026-03-11T00:00:00"/>
    <d v="2025-09-24T00:00:00"/>
    <d v="2025-12-03T00:00:00"/>
    <d v="2026-05-05T00:00:00"/>
    <x v="1"/>
  </r>
  <r>
    <n v="12"/>
    <x v="5"/>
    <s v="Akshay Salian"/>
    <s v="V027AKS@cathaypacific.com"/>
    <s v="Personnel Administrator"/>
    <d v="2026-02-18T00:00:00"/>
    <m/>
    <d v="2025-11-13T00:00:00"/>
    <m/>
    <d v="2026-04-29T00:00:00"/>
    <x v="1"/>
  </r>
  <r>
    <n v="13"/>
    <x v="0"/>
    <s v="Akshay Takale "/>
    <s v="V027AAT@cathaypacific.com"/>
    <s v="Senior Officer"/>
    <m/>
    <m/>
    <d v="2025-09-19T00:00:00"/>
    <d v="2025-11-04T00:00:00"/>
    <d v="2026-05-06T00:00:00"/>
    <x v="1"/>
  </r>
  <r>
    <n v="14"/>
    <x v="4"/>
    <s v="Amarjit Yadav "/>
    <s v="amarjit_yadav@cathaypacific.com"/>
    <s v="Senior Officer"/>
    <d v="2026-02-11T00:00:00"/>
    <d v="2026-03-17T00:00:00"/>
    <m/>
    <m/>
    <d v="2026-05-06T00:00:00"/>
    <x v="1"/>
  </r>
  <r>
    <n v="15"/>
    <x v="4"/>
    <s v="Amey Kale"/>
    <s v="amey_kale@cathaypacific.com"/>
    <s v="Loading Specialist"/>
    <d v="2026-01-29T00:00:00"/>
    <d v="2026-03-11T00:00:00"/>
    <m/>
    <m/>
    <d v="2026-04-28T00:00:00"/>
    <x v="1"/>
  </r>
  <r>
    <n v="16"/>
    <x v="1"/>
    <s v="Ameya Saraf"/>
    <s v="V027AMS@cathaypacific.com"/>
    <s v="Senior Officer"/>
    <d v="2026-02-18T00:00:00"/>
    <m/>
    <d v="2025-11-13T00:00:00"/>
    <m/>
    <m/>
    <x v="2"/>
  </r>
  <r>
    <n v="17"/>
    <x v="0"/>
    <s v="Amit Jadhav"/>
    <s v="V027AMJ@cathaypacific.com"/>
    <s v="Senior Officer"/>
    <m/>
    <m/>
    <d v="2025-10-30T00:00:00"/>
    <m/>
    <d v="2026-04-23T00:00:00"/>
    <x v="1"/>
  </r>
  <r>
    <n v="18"/>
    <x v="6"/>
    <s v="Amol Amale "/>
    <s v="V027AMA@cathaypacific.com"/>
    <s v="Senior Officer"/>
    <m/>
    <m/>
    <d v="2025-09-19T00:00:00"/>
    <d v="2025-11-04T00:00:00"/>
    <d v="2026-04-21T00:00:00"/>
    <x v="1"/>
  </r>
  <r>
    <n v="19"/>
    <x v="4"/>
    <s v="Anil Joshi "/>
    <s v="V027ANJ@cathaypacific.com"/>
    <s v="Senior Officer"/>
    <d v="2026-02-12T00:00:00"/>
    <d v="2026-03-11T00:00:00"/>
    <m/>
    <m/>
    <m/>
    <x v="2"/>
  </r>
  <r>
    <n v="20"/>
    <x v="7"/>
    <s v="Anil Mathews"/>
    <s v="anil_mathews@cathaypacific.com"/>
    <s v="Senior Officer"/>
    <d v="2026-02-04T00:00:00"/>
    <d v="2026-03-11T00:00:00"/>
    <d v="2025-09-24T00:00:00"/>
    <d v="2025-10-28T00:00:00"/>
    <d v="2026-04-20T00:00:00"/>
    <x v="1"/>
  </r>
  <r>
    <n v="21"/>
    <x v="8"/>
    <s v="Anita Rathod"/>
    <s v="anita_rathod@cathaypacific.com"/>
    <s v="Senior Officer"/>
    <m/>
    <d v="2026-03-04T00:00:00"/>
    <d v="2025-12-04T00:00:00"/>
    <m/>
    <m/>
    <x v="2"/>
  </r>
  <r>
    <n v="22"/>
    <x v="4"/>
    <s v="Ankit Jain"/>
    <s v="ankit_jain@cathaypacific.com"/>
    <s v="Loading Specialist"/>
    <d v="2026-01-28T00:00:00"/>
    <d v="2026-03-16T00:00:00"/>
    <d v="2025-09-23T00:00:00"/>
    <d v="2025-12-09T00:00:00"/>
    <d v="2026-04-29T00:00:00"/>
    <x v="1"/>
  </r>
  <r>
    <n v="23"/>
    <x v="6"/>
    <s v="Ankita Desale"/>
    <s v="V027AND@cathaypacific.com"/>
    <s v="Senior Officer"/>
    <m/>
    <m/>
    <d v="2025-09-30T00:00:00"/>
    <d v="2025-11-04T00:00:00"/>
    <d v="2026-05-05T00:00:00"/>
    <x v="1"/>
  </r>
  <r>
    <n v="24"/>
    <x v="0"/>
    <s v="Anmol Koparde"/>
    <s v="V027ANK@cathaypacific.com"/>
    <s v="Senior Officer"/>
    <m/>
    <m/>
    <d v="2025-11-05T00:00:00"/>
    <d v="2025-12-03T00:00:00"/>
    <d v="2026-04-29T00:00:00"/>
    <x v="1"/>
  </r>
  <r>
    <n v="25"/>
    <x v="6"/>
    <s v="Ansari Abdul"/>
    <s v="ansari_abdul@cathaypacific.com"/>
    <s v="Senior Officer"/>
    <m/>
    <m/>
    <d v="2025-10-29T00:00:00"/>
    <d v="2025-12-15T00:00:00"/>
    <m/>
    <x v="2"/>
  </r>
  <r>
    <n v="26"/>
    <x v="7"/>
    <s v="Anushree Pujari"/>
    <s v="V027ANP@cathaypacific.com"/>
    <s v="Senior Officer"/>
    <d v="2026-02-13T00:00:00"/>
    <m/>
    <d v="2025-10-29T00:00:00"/>
    <d v="2025-12-10T00:00:00"/>
    <d v="2026-05-05T00:00:00"/>
    <x v="1"/>
  </r>
  <r>
    <n v="27"/>
    <x v="9"/>
    <s v="Aparna Joshi"/>
    <s v="CPPAPJ@cathaypacific.com"/>
    <s v="Senior Officer"/>
    <d v="2026-02-02T00:00:00"/>
    <d v="2026-03-11T00:00:00"/>
    <d v="2025-09-24T00:00:00"/>
    <d v="2025-11-04T00:00:00"/>
    <d v="2026-04-21T00:00:00"/>
    <x v="1"/>
  </r>
  <r>
    <n v="28"/>
    <x v="4"/>
    <s v="Apurva Hate"/>
    <s v="apurva_hate@cathaypacific.com"/>
    <s v="Loading Specialist"/>
    <d v="2026-02-02T00:00:00"/>
    <d v="2026-03-16T00:00:00"/>
    <d v="2025-09-30T00:00:00"/>
    <m/>
    <d v="2026-04-21T00:00:00"/>
    <x v="1"/>
  </r>
  <r>
    <n v="29"/>
    <x v="1"/>
    <s v="Aqsa Khan"/>
    <s v="V027AQK@cathaypacific.com"/>
    <s v="Senior Officer"/>
    <d v="2026-02-13T00:00:00"/>
    <m/>
    <d v="2025-09-10T00:00:00"/>
    <d v="2025-11-04T00:00:00"/>
    <m/>
    <x v="2"/>
  </r>
  <r>
    <n v="30"/>
    <x v="0"/>
    <s v="Arfat Bashe "/>
    <s v="V027AAB@cathaypacific.com"/>
    <s v="Senior Officer"/>
    <m/>
    <m/>
    <m/>
    <m/>
    <d v="2026-05-11T00:00:00"/>
    <x v="1"/>
  </r>
  <r>
    <n v="31"/>
    <x v="1"/>
    <s v="Arpita Kantol"/>
    <s v="arpita_kantol@cathaypacific.com"/>
    <s v="Senior Officer"/>
    <d v="2026-01-28T00:00:00"/>
    <m/>
    <d v="2025-09-19T00:00:00"/>
    <d v="2025-10-28T00:00:00"/>
    <d v="2026-04-21T00:00:00"/>
    <x v="1"/>
  </r>
  <r>
    <n v="32"/>
    <x v="10"/>
    <s v="Asawary Dalvi"/>
    <s v="V027ASD@cathaypacific.com"/>
    <s v="Senior Officer"/>
    <d v="2026-02-09T00:00:00"/>
    <d v="2026-03-25T00:00:00"/>
    <d v="2025-09-24T00:00:00"/>
    <m/>
    <d v="2026-04-28T00:00:00"/>
    <x v="1"/>
  </r>
  <r>
    <n v="33"/>
    <x v="6"/>
    <s v="Ashwin Jadhav"/>
    <s v="V027ASJ@cathaypacific.com"/>
    <s v="Junior Officer"/>
    <m/>
    <m/>
    <d v="2025-10-10T00:00:00"/>
    <d v="2025-11-06T00:00:00"/>
    <d v="2026-04-27T00:00:00"/>
    <x v="1"/>
  </r>
  <r>
    <n v="34"/>
    <x v="2"/>
    <s v="Asifiqbal Matte"/>
    <s v="asifiqbal_matte@cathaypacific.com"/>
    <s v="Senior Officer"/>
    <d v="2026-02-24T00:00:00"/>
    <d v="2026-03-02T00:00:00"/>
    <d v="2025-10-13T00:00:00"/>
    <d v="2025-12-16T00:00:00"/>
    <m/>
    <x v="2"/>
  </r>
  <r>
    <n v="35"/>
    <x v="0"/>
    <s v="Aswathy Gopakumar"/>
    <s v="V027AAG@cathaypacific.com"/>
    <s v="Senior Officer"/>
    <m/>
    <m/>
    <m/>
    <m/>
    <m/>
    <x v="0"/>
  </r>
  <r>
    <n v="36"/>
    <x v="0"/>
    <s v="Azhar Mohammad"/>
    <s v="azhar_mohammad@cathaypacific.com"/>
    <s v="Senior Officer"/>
    <m/>
    <d v="2026-03-04T00:00:00"/>
    <d v="2025-11-05T00:00:00"/>
    <m/>
    <d v="2026-05-06T00:00:00"/>
    <x v="1"/>
  </r>
  <r>
    <n v="37"/>
    <x v="4"/>
    <s v="Azharuddin Shaikh "/>
    <s v="V027AZS@cathaypacific.com"/>
    <s v="Senior Officer"/>
    <d v="2026-02-23T00:00:00"/>
    <m/>
    <d v="2025-09-19T00:00:00"/>
    <m/>
    <d v="2026-04-20T00:00:00"/>
    <x v="1"/>
  </r>
  <r>
    <n v="38"/>
    <x v="11"/>
    <s v="Bhagyashree Sharma"/>
    <s v="V027BSS@cathaypacific.com"/>
    <s v="Personnel Administrator"/>
    <m/>
    <m/>
    <m/>
    <m/>
    <m/>
    <x v="0"/>
  </r>
  <r>
    <n v="39"/>
    <x v="4"/>
    <s v="Bhavesh Bhatia"/>
    <s v="V027BHA@cathaypacific.com"/>
    <s v="Loading Specialist"/>
    <d v="2026-02-10T00:00:00"/>
    <d v="2026-03-16T00:00:00"/>
    <m/>
    <m/>
    <m/>
    <x v="1"/>
  </r>
  <r>
    <n v="40"/>
    <x v="0"/>
    <s v="Bhavesh Patil"/>
    <s v="V027BHP@cathaypacific.com"/>
    <s v="Senior Officer"/>
    <m/>
    <m/>
    <d v="2025-10-13T00:00:00"/>
    <m/>
    <m/>
    <x v="2"/>
  </r>
  <r>
    <n v="41"/>
    <x v="11"/>
    <s v="Bhavika Bhosle"/>
    <s v="V027BBB@cathaypacific.com"/>
    <s v="Personnel Administrator"/>
    <m/>
    <m/>
    <m/>
    <m/>
    <m/>
    <x v="0"/>
  </r>
  <r>
    <n v="42"/>
    <x v="0"/>
    <s v="Bhushan Badgujar"/>
    <s v="V027BBR@cathaypacific.com"/>
    <s v="Senior Officer"/>
    <m/>
    <m/>
    <d v="2025-10-29T00:00:00"/>
    <d v="2025-11-10T00:00:00"/>
    <m/>
    <x v="2"/>
  </r>
  <r>
    <n v="43"/>
    <x v="2"/>
    <s v="Chandrakant Bagul "/>
    <s v="V027CBA@cathaypacific.com"/>
    <s v="Junior Officer"/>
    <m/>
    <d v="2026-03-11T00:00:00"/>
    <d v="2025-10-29T00:00:00"/>
    <d v="2025-11-10T00:00:00"/>
    <d v="2026-04-28T00:00:00"/>
    <x v="1"/>
  </r>
  <r>
    <n v="44"/>
    <x v="3"/>
    <s v="Chandrashekhar Padashetty"/>
    <s v="c_padashetty@cathaypacific.com"/>
    <s v="Senior Officer"/>
    <m/>
    <m/>
    <m/>
    <m/>
    <m/>
    <x v="0"/>
  </r>
  <r>
    <n v="45"/>
    <x v="2"/>
    <s v="Chetan Badkas"/>
    <s v="V027CHB@cathaypacific.com"/>
    <s v="Junior Officer"/>
    <m/>
    <d v="2026-03-12T00:00:00"/>
    <d v="2025-11-13T00:00:00"/>
    <d v="2025-12-10T00:00:00"/>
    <d v="2026-05-12T00:00:00"/>
    <x v="1"/>
  </r>
  <r>
    <n v="46"/>
    <x v="0"/>
    <s v="Chetan Bavakar"/>
    <s v="chetan_bavakar@cathaypacific.com"/>
    <s v="Inventory Specialist"/>
    <m/>
    <m/>
    <d v="2025-10-10T00:00:00"/>
    <m/>
    <d v="2026-05-06T00:00:00"/>
    <x v="1"/>
  </r>
  <r>
    <n v="47"/>
    <x v="5"/>
    <s v="Clevita Leitao"/>
    <s v="V027CLL@cathaypacific.com"/>
    <s v="Personnel Administrator"/>
    <d v="2026-02-04T00:00:00"/>
    <m/>
    <d v="2025-11-19T00:00:00"/>
    <d v="2025-10-28T00:00:00"/>
    <d v="2026-04-20T00:00:00"/>
    <x v="1"/>
  </r>
  <r>
    <n v="48"/>
    <x v="5"/>
    <s v="Daksha Deveriya"/>
    <s v="V027DDD@cathaypacific.com"/>
    <s v="Personnel Administrator"/>
    <d v="2026-02-04T00:00:00"/>
    <m/>
    <d v="2025-10-01T00:00:00"/>
    <d v="2025-12-09T00:00:00"/>
    <d v="2026-05-06T00:00:00"/>
    <x v="1"/>
  </r>
  <r>
    <n v="49"/>
    <x v="6"/>
    <s v="Darshan Satra"/>
    <s v="V027BDS@cathaypacific.com"/>
    <s v="Senior Officer"/>
    <m/>
    <m/>
    <d v="2025-09-30T00:00:00"/>
    <d v="2025-11-10T00:00:00"/>
    <d v="2026-05-06T00:00:00"/>
    <x v="1"/>
  </r>
  <r>
    <n v="50"/>
    <x v="4"/>
    <s v="Darshana Chunekar"/>
    <s v="darshana_chunekar@cathaypacific.com"/>
    <s v="Loading Specialist"/>
    <d v="2026-02-09T00:00:00"/>
    <d v="2026-03-11T00:00:00"/>
    <d v="2025-09-24T00:00:00"/>
    <d v="2025-10-28T00:00:00"/>
    <d v="2026-04-28T00:00:00"/>
    <x v="1"/>
  </r>
  <r>
    <n v="51"/>
    <x v="12"/>
    <s v="Darshana Jadhav "/>
    <s v="V027DDJ@cathaypacific.com"/>
    <s v="Junior Officer"/>
    <d v="2026-02-12T00:00:00"/>
    <d v="2026-03-17T00:00:00"/>
    <d v="2025-10-10T00:00:00"/>
    <d v="2025-10-31T00:00:00"/>
    <m/>
    <x v="1"/>
  </r>
  <r>
    <n v="52"/>
    <x v="0"/>
    <s v="Darshana Keni"/>
    <s v="darshana_keni@cathaypacific.com"/>
    <s v="Inventory Specialist"/>
    <m/>
    <m/>
    <d v="2025-11-13T00:00:00"/>
    <m/>
    <d v="2026-05-12T00:00:00"/>
    <x v="1"/>
  </r>
  <r>
    <n v="53"/>
    <x v="6"/>
    <s v="Deepak Gaikwad"/>
    <s v="V027DDG@cathaypacific.com"/>
    <s v="Senior Officer"/>
    <m/>
    <m/>
    <d v="2025-10-10T00:00:00"/>
    <d v="2025-11-06T00:00:00"/>
    <m/>
    <x v="2"/>
  </r>
  <r>
    <n v="54"/>
    <x v="4"/>
    <s v="Deepak Pawar"/>
    <s v="deepak_pawar@cathaypacific.com"/>
    <s v="Loading Specialist"/>
    <d v="2026-02-17T00:00:00"/>
    <d v="2026-03-04T00:00:00"/>
    <d v="2025-09-30T00:00:00"/>
    <d v="2025-12-10T00:00:00"/>
    <d v="2026-04-29T00:00:00"/>
    <x v="1"/>
  </r>
  <r>
    <n v="55"/>
    <x v="12"/>
    <s v="Deepak Rajguru"/>
    <s v="deepak_rajguru@cathaypacific.com"/>
    <s v="Senior Officer"/>
    <m/>
    <m/>
    <d v="2025-11-13T00:00:00"/>
    <m/>
    <d v="2026-04-29T00:00:00"/>
    <x v="1"/>
  </r>
  <r>
    <n v="56"/>
    <x v="4"/>
    <s v="Deepak Rawat"/>
    <s v="V027DER@cathaypacific.com"/>
    <s v="Senior Officer"/>
    <d v="2026-02-23T00:00:00"/>
    <d v="2026-03-12T00:00:00"/>
    <d v="2025-09-29T00:00:00"/>
    <m/>
    <m/>
    <x v="2"/>
  </r>
  <r>
    <n v="57"/>
    <x v="4"/>
    <s v="Deepika Mayangade "/>
    <s v="deepika_mayangade@cathaypacific.com"/>
    <s v="Loading Specialist"/>
    <d v="2026-01-29T00:00:00"/>
    <d v="2026-03-11T00:00:00"/>
    <d v="2025-10-01T00:00:00"/>
    <d v="2025-12-03T00:00:00"/>
    <m/>
    <x v="2"/>
  </r>
  <r>
    <n v="58"/>
    <x v="4"/>
    <s v="Devang Sandesara"/>
    <s v="V027DES@cathaypacific.com"/>
    <s v="Senior Officer"/>
    <d v="2026-02-23T00:00:00"/>
    <d v="2026-03-18T00:00:00"/>
    <m/>
    <m/>
    <m/>
    <x v="1"/>
  </r>
  <r>
    <n v="59"/>
    <x v="0"/>
    <s v="Dheerajkumar Choudhari "/>
    <s v="V027DDC@cathaypacific.com"/>
    <s v="Senior Officer"/>
    <m/>
    <m/>
    <d v="2025-11-05T00:00:00"/>
    <m/>
    <d v="2026-05-11T00:00:00"/>
    <x v="1"/>
  </r>
  <r>
    <n v="60"/>
    <x v="12"/>
    <s v="Dhiraj Singh"/>
    <s v="dhiraj_singh@cathaypacific.com"/>
    <s v="Senior Officer"/>
    <m/>
    <m/>
    <d v="2025-10-29T00:00:00"/>
    <d v="2025-12-10T00:00:00"/>
    <d v="2026-05-11T00:00:00"/>
    <x v="1"/>
  </r>
  <r>
    <n v="61"/>
    <x v="4"/>
    <s v="Dileep Kanaujia"/>
    <s v="v027ddk@cathaypacific.com"/>
    <s v="Senior Officer"/>
    <d v="2026-02-12T00:00:00"/>
    <d v="2026-03-18T00:00:00"/>
    <d v="2025-09-23T00:00:00"/>
    <m/>
    <m/>
    <x v="1"/>
  </r>
  <r>
    <n v="62"/>
    <x v="5"/>
    <s v="Dinesh Gaikwad"/>
    <s v="V027DIG@cathaypacific.com"/>
    <s v="Personnel Administrator"/>
    <m/>
    <m/>
    <m/>
    <m/>
    <d v="2026-04-28T00:00:00"/>
    <x v="1"/>
  </r>
  <r>
    <n v="63"/>
    <x v="0"/>
    <s v="Dinesh Gopale "/>
    <s v="dinesh_gopale@cathaypacific.com"/>
    <s v="Senior Officer"/>
    <m/>
    <m/>
    <d v="2025-10-13T00:00:00"/>
    <d v="2025-12-09T00:00:00"/>
    <d v="2026-04-20T00:00:00"/>
    <x v="1"/>
  </r>
  <r>
    <n v="64"/>
    <x v="2"/>
    <s v="Dipali Jadhav"/>
    <s v="v027dij@cathaypacific.com"/>
    <s v="Junior Officer"/>
    <d v="2026-02-03T00:00:00"/>
    <d v="2026-03-05T00:00:00"/>
    <d v="2025-11-05T00:00:00"/>
    <d v="2025-12-09T00:00:00"/>
    <d v="2026-05-05T00:00:00"/>
    <x v="1"/>
  </r>
  <r>
    <n v="65"/>
    <x v="13"/>
    <s v="Dipali Sudi"/>
    <s v="V027DDS@cathaypacific.com"/>
    <s v="Facility Coordinator"/>
    <m/>
    <m/>
    <m/>
    <m/>
    <m/>
    <x v="0"/>
  </r>
  <r>
    <n v="66"/>
    <x v="1"/>
    <s v="Durgesh Singh"/>
    <s v="v027dus@cathaypacific.com"/>
    <s v="Senior Officer"/>
    <m/>
    <m/>
    <d v="2025-09-24T00:00:00"/>
    <d v="2025-12-16T00:00:00"/>
    <d v="2026-04-23T00:00:00"/>
    <x v="1"/>
  </r>
  <r>
    <n v="67"/>
    <x v="12"/>
    <s v="Ellery Mendonsa"/>
    <s v="ellery_mendonsa@cathaypacific.com"/>
    <s v="Senior Officer"/>
    <m/>
    <m/>
    <d v="2025-10-13T00:00:00"/>
    <d v="2025-12-16T00:00:00"/>
    <m/>
    <x v="2"/>
  </r>
  <r>
    <n v="68"/>
    <x v="0"/>
    <s v="Faizan Motiwala"/>
    <s v="v027ffm@cathaypacific.com"/>
    <s v="Senior Officer"/>
    <m/>
    <m/>
    <m/>
    <m/>
    <m/>
    <x v="0"/>
  </r>
  <r>
    <n v="69"/>
    <x v="1"/>
    <s v="Faizan Shaikh"/>
    <s v="V027FAS@cathaypacific.com"/>
    <s v="Senior Officer"/>
    <d v="2026-02-25T00:00:00"/>
    <m/>
    <d v="2025-09-10T00:00:00"/>
    <d v="2025-10-31T00:00:00"/>
    <d v="2026-05-05T00:00:00"/>
    <x v="1"/>
  </r>
  <r>
    <n v="70"/>
    <x v="7"/>
    <s v="Flavina Fernandes"/>
    <s v="flavina_fernandes@cathaypacific.com"/>
    <s v="Senior Officer"/>
    <d v="2026-02-18T00:00:00"/>
    <d v="2026-03-17T00:00:00"/>
    <d v="2025-10-29T00:00:00"/>
    <d v="2025-10-31T00:00:00"/>
    <d v="2026-05-12T00:00:00"/>
    <x v="1"/>
  </r>
  <r>
    <n v="71"/>
    <x v="4"/>
    <s v="Gayas Sait"/>
    <s v="V027GAS@cathaypacific.com"/>
    <s v="Senior Officer"/>
    <d v="2026-02-24T00:00:00"/>
    <d v="2026-03-12T00:00:00"/>
    <d v="2025-12-04T00:00:00"/>
    <d v="2025-12-10T00:00:00"/>
    <m/>
    <x v="2"/>
  </r>
  <r>
    <n v="72"/>
    <x v="12"/>
    <s v="Harsha Salekar"/>
    <s v="V027HHS@cathaypacific.com"/>
    <s v="Junior Officer"/>
    <d v="2026-02-10T00:00:00"/>
    <d v="2026-03-04T00:00:00"/>
    <d v="2025-09-10T00:00:00"/>
    <d v="2025-10-28T00:00:00"/>
    <d v="2026-04-23T00:00:00"/>
    <x v="1"/>
  </r>
  <r>
    <n v="73"/>
    <x v="7"/>
    <s v="Harshada Ghate"/>
    <s v="harshada_ghate@cathaypacific.com"/>
    <s v="Senior Officer"/>
    <m/>
    <d v="2026-03-25T00:00:00"/>
    <d v="2025-11-13T00:00:00"/>
    <d v="2025-12-15T00:00:00"/>
    <m/>
    <x v="1"/>
  </r>
  <r>
    <n v="74"/>
    <x v="7"/>
    <s v="Harshada Sawant"/>
    <s v="V027HAS@cathaypacific.com"/>
    <s v="Senior Officer"/>
    <m/>
    <m/>
    <m/>
    <m/>
    <m/>
    <x v="0"/>
  </r>
  <r>
    <n v="75"/>
    <x v="1"/>
    <s v="Harshal Karande"/>
    <s v="v027hhk@cathaypacific.com"/>
    <s v="Senior Officer"/>
    <d v="2026-02-18T00:00:00"/>
    <m/>
    <d v="2025-09-23T00:00:00"/>
    <d v="2025-10-28T00:00:00"/>
    <m/>
    <x v="2"/>
  </r>
  <r>
    <n v="76"/>
    <x v="8"/>
    <s v="Harvey De Souza"/>
    <s v="v027hds@cathaypacific.com"/>
    <s v="Senior Officer"/>
    <m/>
    <m/>
    <m/>
    <m/>
    <m/>
    <x v="0"/>
  </r>
  <r>
    <n v="77"/>
    <x v="0"/>
    <s v="Himanshu Shardule"/>
    <s v="himanshu_shardule@cathaypacific.com"/>
    <s v="Inventory Specialist"/>
    <m/>
    <m/>
    <d v="2025-11-05T00:00:00"/>
    <m/>
    <d v="2026-04-27T00:00:00"/>
    <x v="1"/>
  </r>
  <r>
    <n v="78"/>
    <x v="4"/>
    <s v="Hrishikesh Kelkar "/>
    <s v="hrishikesh_kelkar@cathaypacific.com"/>
    <s v="Loading Specialist"/>
    <d v="2026-01-28T00:00:00"/>
    <d v="2026-03-02T00:00:00"/>
    <d v="2025-10-29T00:00:00"/>
    <d v="2025-12-09T00:00:00"/>
    <d v="2026-04-20T00:00:00"/>
    <x v="1"/>
  </r>
  <r>
    <n v="79"/>
    <x v="0"/>
    <s v="Ishan Jathar"/>
    <s v="V027ISJ@cathaypacific.com"/>
    <s v="Senior Officer"/>
    <m/>
    <m/>
    <m/>
    <d v="2025-12-16T00:00:00"/>
    <m/>
    <x v="2"/>
  </r>
  <r>
    <n v="80"/>
    <x v="12"/>
    <s v="Janhavi Sonawane"/>
    <s v="CPPJANS@cathaypacific.com"/>
    <s v="Senior Officer"/>
    <d v="2026-02-13T00:00:00"/>
    <d v="2026-03-10T00:00:00"/>
    <d v="2025-09-23T00:00:00"/>
    <d v="2025-10-31T00:00:00"/>
    <d v="2026-04-29T00:00:00"/>
    <x v="1"/>
  </r>
  <r>
    <n v="81"/>
    <x v="6"/>
    <s v="Jashoda Gond"/>
    <s v="V027JAG@cathaypacific.com"/>
    <s v="Senior Officer"/>
    <m/>
    <m/>
    <d v="2025-12-04T00:00:00"/>
    <m/>
    <d v="2026-05-06T00:00:00"/>
    <x v="1"/>
  </r>
  <r>
    <n v="82"/>
    <x v="1"/>
    <s v="Javed Khan"/>
    <s v="v027jjk@cathaypacific.com"/>
    <s v="Senior Officer"/>
    <d v="2026-02-12T00:00:00"/>
    <d v="2026-03-10T00:00:00"/>
    <d v="2025-10-10T00:00:00"/>
    <m/>
    <d v="2026-05-06T00:00:00"/>
    <x v="1"/>
  </r>
  <r>
    <n v="83"/>
    <x v="4"/>
    <s v="Jayachandran Kurup"/>
    <s v="jayachandran_kurup@cathaypacific.com"/>
    <s v="Loading Specialist"/>
    <d v="2026-02-11T00:00:00"/>
    <d v="2026-03-11T00:00:00"/>
    <m/>
    <m/>
    <d v="2026-04-27T00:00:00"/>
    <x v="1"/>
  </r>
  <r>
    <n v="84"/>
    <x v="0"/>
    <s v="Jaydeep Dabade"/>
    <s v="V027JAD@cathaypacific.com"/>
    <s v="Senior Officer"/>
    <m/>
    <m/>
    <d v="2025-09-30T00:00:00"/>
    <d v="2025-12-03T00:00:00"/>
    <d v="2026-04-28T00:00:00"/>
    <x v="1"/>
  </r>
  <r>
    <n v="85"/>
    <x v="7"/>
    <s v="Jayesh Prajapati"/>
    <s v="v027jjp@cathaypacific.com"/>
    <s v="Senior Officer"/>
    <d v="2026-02-13T00:00:00"/>
    <m/>
    <d v="2025-10-29T00:00:00"/>
    <d v="2025-11-04T00:00:00"/>
    <d v="2026-04-28T00:00:00"/>
    <x v="1"/>
  </r>
  <r>
    <n v="86"/>
    <x v="7"/>
    <s v="Jignesh Solanki "/>
    <s v="V027JIS@cathaypacific.com"/>
    <s v="Senior Officer"/>
    <m/>
    <d v="2026-03-05T00:00:00"/>
    <m/>
    <m/>
    <d v="2026-04-23T00:00:00"/>
    <x v="1"/>
  </r>
  <r>
    <n v="87"/>
    <x v="7"/>
    <s v="Johnson Williams"/>
    <s v="v027jjw@cathaypacific.com"/>
    <s v="Senior Officer"/>
    <d v="2026-02-04T00:00:00"/>
    <d v="2026-03-24T00:00:00"/>
    <d v="2025-11-13T00:00:00"/>
    <d v="2025-12-03T00:00:00"/>
    <d v="2026-05-11T00:00:00"/>
    <x v="1"/>
  </r>
  <r>
    <n v="88"/>
    <x v="4"/>
    <s v="Jorlus D’britto"/>
    <s v="jorlus_dbritto@cathaypacific.com"/>
    <s v="Loading Specialist"/>
    <d v="2026-02-04T00:00:00"/>
    <d v="2026-03-02T00:00:00"/>
    <d v="2025-10-01T00:00:00"/>
    <m/>
    <d v="2026-04-28T00:00:00"/>
    <x v="1"/>
  </r>
  <r>
    <n v="89"/>
    <x v="12"/>
    <s v="Jotsna Pereira"/>
    <s v="jotsna_pereira@cathaypacific.com"/>
    <s v="Senior Officer"/>
    <m/>
    <m/>
    <d v="2025-12-04T00:00:00"/>
    <d v="2025-12-15T00:00:00"/>
    <m/>
    <x v="2"/>
  </r>
  <r>
    <n v="90"/>
    <x v="14"/>
    <s v="Jovita Lobo"/>
    <s v="V027ZOL@cathaypacific.com"/>
    <s v="Senior Officer"/>
    <m/>
    <d v="2026-03-18T00:00:00"/>
    <m/>
    <m/>
    <m/>
    <x v="1"/>
  </r>
  <r>
    <n v="91"/>
    <x v="4"/>
    <s v="Jyotsna Patankar"/>
    <s v="jyotsna_patankar@cathaypacific.com"/>
    <s v="Loading Specialist"/>
    <d v="2026-02-12T00:00:00"/>
    <d v="2026-03-10T00:00:00"/>
    <d v="2025-09-30T00:00:00"/>
    <m/>
    <d v="2026-04-27T00:00:00"/>
    <x v="1"/>
  </r>
  <r>
    <n v="92"/>
    <x v="7"/>
    <s v="Kalpesh Deore "/>
    <s v="v027kad@cathaypacific.com"/>
    <s v="Senior Officer"/>
    <d v="2026-01-27T00:00:00"/>
    <d v="2026-03-17T00:00:00"/>
    <d v="2025-10-29T00:00:00"/>
    <d v="2025-10-31T00:00:00"/>
    <d v="2026-05-12T00:00:00"/>
    <x v="1"/>
  </r>
  <r>
    <n v="93"/>
    <x v="6"/>
    <s v="Kanchan Jaiswal"/>
    <s v="V027KKJ@cathaypacific.com"/>
    <s v="Senior Officer"/>
    <m/>
    <m/>
    <d v="2025-09-10T00:00:00"/>
    <d v="2025-10-31T00:00:00"/>
    <m/>
    <x v="2"/>
  </r>
  <r>
    <n v="94"/>
    <x v="8"/>
    <s v="Kanchan Surve"/>
    <s v="kanchan_surve@cathaypacific.com"/>
    <s v="Junior Officer"/>
    <d v="2026-02-09T00:00:00"/>
    <d v="2026-03-25T00:00:00"/>
    <m/>
    <d v="2025-12-03T00:00:00"/>
    <d v="2026-04-23T00:00:00"/>
    <x v="1"/>
  </r>
  <r>
    <n v="95"/>
    <x v="14"/>
    <s v="Karan Badade"/>
    <s v="V027KKB@cathaypacific.com"/>
    <s v="Senior Officer"/>
    <m/>
    <d v="2026-03-11T00:00:00"/>
    <d v="2025-09-23T00:00:00"/>
    <m/>
    <d v="2026-04-27T00:00:00"/>
    <x v="1"/>
  </r>
  <r>
    <n v="96"/>
    <x v="4"/>
    <s v="Kavita Malandkar "/>
    <s v="kavita_malandkar@cathaypacific.com"/>
    <s v="Senior Officer"/>
    <d v="2026-02-13T00:00:00"/>
    <d v="2026-03-17T00:00:00"/>
    <d v="2025-09-30T00:00:00"/>
    <d v="2025-12-09T00:00:00"/>
    <m/>
    <x v="1"/>
  </r>
  <r>
    <n v="97"/>
    <x v="6"/>
    <s v="Ketan Aloni"/>
    <s v="V027KEA@cathaypacific.com"/>
    <s v="Senior Officer"/>
    <m/>
    <m/>
    <m/>
    <m/>
    <m/>
    <x v="0"/>
  </r>
  <r>
    <n v="98"/>
    <x v="12"/>
    <s v="Ketan Hande"/>
    <s v="ketan_hande@cathaypacific.com"/>
    <s v="Senior Officer"/>
    <d v="2026-02-04T00:00:00"/>
    <d v="2026-03-05T00:00:00"/>
    <d v="2025-09-19T00:00:00"/>
    <d v="2025-10-31T00:00:00"/>
    <d v="2026-05-06T00:00:00"/>
    <x v="1"/>
  </r>
  <r>
    <n v="99"/>
    <x v="0"/>
    <s v="Ketan Shelar"/>
    <s v="V027KKS@cathaypacific.com"/>
    <s v="Senior Officer"/>
    <m/>
    <m/>
    <d v="2025-11-13T00:00:00"/>
    <m/>
    <d v="2026-04-29T00:00:00"/>
    <x v="1"/>
  </r>
  <r>
    <n v="100"/>
    <x v="1"/>
    <s v="Ketan Wadkar"/>
    <s v="v027kkw@cathaypacific.com"/>
    <s v="Senior Officer"/>
    <d v="2026-02-09T00:00:00"/>
    <m/>
    <d v="2025-10-13T00:00:00"/>
    <m/>
    <m/>
    <x v="2"/>
  </r>
  <r>
    <n v="101"/>
    <x v="0"/>
    <s v="Khan Israr"/>
    <s v="khan_israr@cathaypacific.com"/>
    <s v="Senior Officer"/>
    <m/>
    <m/>
    <d v="2025-09-10T00:00:00"/>
    <d v="2025-11-10T00:00:00"/>
    <m/>
    <x v="2"/>
  </r>
  <r>
    <n v="102"/>
    <x v="6"/>
    <s v="Kiran Gambhir"/>
    <s v="kiran_gambhir@cathaypacific.com"/>
    <s v="Senior Officer"/>
    <m/>
    <m/>
    <m/>
    <m/>
    <m/>
    <x v="0"/>
  </r>
  <r>
    <n v="103"/>
    <x v="1"/>
    <s v="Kiran Lad"/>
    <s v="v027kil@cathaypacific.com"/>
    <s v="Senior Officer"/>
    <d v="2026-02-23T00:00:00"/>
    <m/>
    <d v="2025-10-29T00:00:00"/>
    <m/>
    <m/>
    <x v="2"/>
  </r>
  <r>
    <n v="104"/>
    <x v="4"/>
    <s v="Krishnakant Gupta"/>
    <s v="Krishnakant_Gupta@cathaypacific.com"/>
    <s v="Senior Officer"/>
    <d v="2026-02-10T00:00:00"/>
    <d v="2026-03-11T00:00:00"/>
    <d v="2025-09-23T00:00:00"/>
    <m/>
    <m/>
    <x v="2"/>
  </r>
  <r>
    <n v="105"/>
    <x v="4"/>
    <s v="Krutika Mhatre"/>
    <s v="v027kkm@cathaypacific.com"/>
    <s v="Senior Officer"/>
    <d v="2026-02-23T00:00:00"/>
    <d v="2026-03-12T00:00:00"/>
    <d v="2025-09-30T00:00:00"/>
    <d v="2025-12-15T00:00:00"/>
    <m/>
    <x v="2"/>
  </r>
  <r>
    <n v="106"/>
    <x v="12"/>
    <s v="Kuna Bhoir"/>
    <s v="kuna_bhoir@cathaypacific.com"/>
    <s v="Senior Officer"/>
    <m/>
    <d v="2026-03-18T00:00:00"/>
    <m/>
    <m/>
    <m/>
    <x v="1"/>
  </r>
  <r>
    <n v="107"/>
    <x v="2"/>
    <s v="Laxmi Naidu"/>
    <s v="laxmi_naidu@cathaypacific.com"/>
    <s v="Senior Officer"/>
    <d v="2026-01-27T00:00:00"/>
    <d v="2026-03-11T00:00:00"/>
    <d v="2025-11-13T00:00:00"/>
    <d v="2025-12-09T00:00:00"/>
    <d v="2026-04-29T00:00:00"/>
    <x v="1"/>
  </r>
  <r>
    <n v="108"/>
    <x v="6"/>
    <s v="Laxmi Prajapati "/>
    <s v="V027LAX@cathaypacific.com"/>
    <s v="Senior Officer"/>
    <m/>
    <m/>
    <d v="2025-09-24T00:00:00"/>
    <d v="2025-12-09T00:00:00"/>
    <m/>
    <x v="2"/>
  </r>
  <r>
    <n v="109"/>
    <x v="6"/>
    <s v="Leena Kirti"/>
    <s v="leena_kirti@cathaypacific.com"/>
    <s v="Inventory Specialist"/>
    <m/>
    <m/>
    <d v="2025-10-01T00:00:00"/>
    <d v="2025-10-28T00:00:00"/>
    <m/>
    <x v="2"/>
  </r>
  <r>
    <n v="110"/>
    <x v="3"/>
    <s v="Lokesh Poojary"/>
    <s v="lokesh_poojary@cathaypacific.com"/>
    <s v="Senior Officer"/>
    <m/>
    <m/>
    <m/>
    <m/>
    <m/>
    <x v="0"/>
  </r>
  <r>
    <n v="111"/>
    <x v="0"/>
    <s v="Madhuri Alahit"/>
    <s v="madhuri_alahit@cathaypacific.com"/>
    <s v="Senior Officer"/>
    <m/>
    <m/>
    <d v="2025-09-10T00:00:00"/>
    <m/>
    <d v="2026-04-28T00:00:00"/>
    <x v="1"/>
  </r>
  <r>
    <n v="112"/>
    <x v="0"/>
    <s v="Mahesh Lohakare"/>
    <s v="V027MML@cathaypacific.com"/>
    <s v="Senior Officer"/>
    <m/>
    <m/>
    <d v="2025-10-01T00:00:00"/>
    <d v="2025-10-31T00:00:00"/>
    <d v="2026-05-12T00:00:00"/>
    <x v="1"/>
  </r>
  <r>
    <n v="113"/>
    <x v="0"/>
    <s v="Mahesh Modak"/>
    <s v="mah_mm_modak@cathaypacific.com"/>
    <s v="Senior Officer"/>
    <m/>
    <m/>
    <m/>
    <m/>
    <m/>
    <x v="0"/>
  </r>
  <r>
    <n v="114"/>
    <x v="12"/>
    <s v="Mandar Warang"/>
    <s v="mandar_warang@cathaypacific.com"/>
    <s v="Senior Officer"/>
    <m/>
    <m/>
    <m/>
    <m/>
    <m/>
    <x v="0"/>
  </r>
  <r>
    <n v="115"/>
    <x v="4"/>
    <s v="Yashashree Manjrekar "/>
    <s v="yashashree_manjrekar@cathaypacific.com"/>
    <s v="Loading Specialist"/>
    <d v="2026-02-09T00:00:00"/>
    <d v="2026-03-04T00:00:00"/>
    <d v="2025-09-23T00:00:00"/>
    <m/>
    <d v="2026-04-29T00:00:00"/>
    <x v="1"/>
  </r>
  <r>
    <n v="116"/>
    <x v="4"/>
    <s v="Manoj Nimse"/>
    <s v="manoj_nimse@cathaypacific.com"/>
    <s v="Loading Specialist"/>
    <d v="2026-02-02T00:00:00"/>
    <d v="2026-03-02T00:00:00"/>
    <d v="2025-12-04T00:00:00"/>
    <m/>
    <d v="2026-05-11T00:00:00"/>
    <x v="1"/>
  </r>
  <r>
    <n v="117"/>
    <x v="4"/>
    <s v="Manoj Patil"/>
    <s v="manoj_patil@cathaypacific.com"/>
    <s v="Senior Officer"/>
    <d v="2026-02-09T00:00:00"/>
    <d v="2026-03-10T00:00:00"/>
    <d v="2025-09-19T00:00:00"/>
    <d v="2025-12-03T00:00:00"/>
    <d v="2026-05-11T00:00:00"/>
    <x v="1"/>
  </r>
  <r>
    <n v="118"/>
    <x v="12"/>
    <s v="Manoj Salunke "/>
    <s v="cppmsa@cathaypacific.com"/>
    <s v="Junior Officer"/>
    <d v="2026-02-12T00:00:00"/>
    <d v="2026-03-05T00:00:00"/>
    <d v="2025-09-10T00:00:00"/>
    <d v="2025-11-04T00:00:00"/>
    <d v="2026-04-20T00:00:00"/>
    <x v="1"/>
  </r>
  <r>
    <n v="119"/>
    <x v="10"/>
    <s v="Marlyn Fernandes"/>
    <s v="v027mfd@cathaypacific.com"/>
    <s v="Senior Officer"/>
    <d v="2026-02-13T00:00:00"/>
    <m/>
    <d v="2025-09-23T00:00:00"/>
    <d v="2025-10-28T00:00:00"/>
    <d v="2026-04-21T00:00:00"/>
    <x v="1"/>
  </r>
  <r>
    <n v="120"/>
    <x v="7"/>
    <s v="Martina Parampogu "/>
    <s v="v027mmp@cathaypacific.com"/>
    <s v="Junior Officer"/>
    <d v="2026-01-29T00:00:00"/>
    <d v="2026-03-10T00:00:00"/>
    <d v="2025-10-10T00:00:00"/>
    <d v="2025-12-09T00:00:00"/>
    <d v="2026-05-05T00:00:00"/>
    <x v="1"/>
  </r>
  <r>
    <n v="121"/>
    <x v="12"/>
    <s v="Maxson D'Britto"/>
    <s v="maxson_dbritto@cathaypacific.com"/>
    <s v="Senior Officer"/>
    <m/>
    <m/>
    <d v="2025-11-05T00:00:00"/>
    <d v="2025-12-09T00:00:00"/>
    <m/>
    <x v="2"/>
  </r>
  <r>
    <n v="122"/>
    <x v="5"/>
    <s v="Maya Makwana"/>
    <s v="V027MAM@cathaypacific.com"/>
    <s v="Personnel Administrator"/>
    <d v="2026-02-04T00:00:00"/>
    <m/>
    <d v="2025-11-05T00:00:00"/>
    <d v="2025-12-02T00:00:00"/>
    <d v="2026-04-21T00:00:00"/>
    <x v="1"/>
  </r>
  <r>
    <n v="123"/>
    <x v="12"/>
    <s v="Mayuresh Samarth"/>
    <s v="mayuresh_samarth@cathaypacific.com"/>
    <s v="Junior Officer"/>
    <d v="2026-02-24T00:00:00"/>
    <d v="2026-03-10T00:00:00"/>
    <d v="2025-09-19T00:00:00"/>
    <d v="2025-11-04T00:00:00"/>
    <d v="2026-05-05T00:00:00"/>
    <x v="1"/>
  </r>
  <r>
    <n v="124"/>
    <x v="1"/>
    <s v="Mayuri Joshi"/>
    <s v="v027mmj@cathaypacific.com"/>
    <s v="Senior Officer"/>
    <d v="2026-02-13T00:00:00"/>
    <m/>
    <d v="2025-09-24T00:00:00"/>
    <d v="2025-10-31T00:00:00"/>
    <d v="2026-04-23T00:00:00"/>
    <x v="1"/>
  </r>
  <r>
    <n v="125"/>
    <x v="5"/>
    <s v="Mayuri Kadam"/>
    <s v="V027KAM@cathaypacific.com"/>
    <s v="Personnel Administrator"/>
    <m/>
    <m/>
    <m/>
    <m/>
    <d v="2026-04-27T00:00:00"/>
    <x v="1"/>
  </r>
  <r>
    <n v="126"/>
    <x v="4"/>
    <s v="Megha Zunjarrao"/>
    <s v="megha_zunjarrao@cathaypacific.com"/>
    <s v="Loading Specialist"/>
    <d v="2026-01-29T00:00:00"/>
    <d v="2026-03-25T00:00:00"/>
    <m/>
    <m/>
    <d v="2026-05-06T00:00:00"/>
    <x v="1"/>
  </r>
  <r>
    <n v="127"/>
    <x v="4"/>
    <s v="Michael Joseph "/>
    <s v="michael_joseph@cathaypacific.com"/>
    <s v="Loading Specialist"/>
    <d v="2026-02-10T00:00:00"/>
    <d v="2026-03-12T00:00:00"/>
    <d v="2025-10-01T00:00:00"/>
    <d v="2025-12-09T00:00:00"/>
    <d v="2026-04-23T00:00:00"/>
    <x v="1"/>
  </r>
  <r>
    <n v="128"/>
    <x v="9"/>
    <s v="Minal Potphode"/>
    <s v="minal_potphode@cathaypacific.com"/>
    <s v="Senior Officer"/>
    <d v="2026-02-02T00:00:00"/>
    <d v="2026-03-02T00:00:00"/>
    <d v="2025-09-10T00:00:00"/>
    <d v="2025-10-28T00:00:00"/>
    <d v="2026-04-27T00:00:00"/>
    <x v="1"/>
  </r>
  <r>
    <n v="129"/>
    <x v="4"/>
    <s v="Mita Engineer "/>
    <s v="V027MIE@cathaypacific.com"/>
    <s v="Senior Officer"/>
    <d v="2026-02-23T00:00:00"/>
    <d v="2026-03-12T00:00:00"/>
    <d v="2025-12-04T00:00:00"/>
    <d v="2025-12-10T00:00:00"/>
    <m/>
    <x v="2"/>
  </r>
  <r>
    <n v="130"/>
    <x v="0"/>
    <s v="Mohammad Adil Babuji"/>
    <s v="V027MOB@cathaypacific.com"/>
    <s v="Senior Officer"/>
    <m/>
    <m/>
    <d v="2025-10-13T00:00:00"/>
    <d v="2025-10-31T00:00:00"/>
    <d v="2026-05-12T00:00:00"/>
    <x v="1"/>
  </r>
  <r>
    <n v="131"/>
    <x v="0"/>
    <s v="Mohammed Nadeem Shaikh"/>
    <s v="v027mms@cathaypacific.com"/>
    <s v="Senior Officer"/>
    <m/>
    <m/>
    <m/>
    <m/>
    <m/>
    <x v="0"/>
  </r>
  <r>
    <n v="132"/>
    <x v="0"/>
    <s v="Monali More"/>
    <s v="V027MOM@cathaypacific.com"/>
    <s v="Senior Officer"/>
    <m/>
    <m/>
    <d v="2025-10-29T00:00:00"/>
    <d v="2025-10-31T00:00:00"/>
    <m/>
    <x v="2"/>
  </r>
  <r>
    <n v="133"/>
    <x v="5"/>
    <s v="Mrunal Deshmukh"/>
    <s v="V027DEM@cathaypacific.com"/>
    <s v="Personnel Administrator"/>
    <d v="2026-01-28T00:00:00"/>
    <m/>
    <d v="2025-09-24T00:00:00"/>
    <d v="2025-12-10T00:00:00"/>
    <d v="2026-04-28T00:00:00"/>
    <x v="1"/>
  </r>
  <r>
    <n v="134"/>
    <x v="5"/>
    <s v="Mrunal Khochare "/>
    <s v="V027MRK@cathaypacific.com"/>
    <s v="Personnel Administrator"/>
    <d v="2026-01-28T00:00:00"/>
    <m/>
    <d v="2025-10-10T00:00:00"/>
    <d v="2025-10-31T00:00:00"/>
    <d v="2026-04-20T00:00:00"/>
    <x v="1"/>
  </r>
  <r>
    <n v="135"/>
    <x v="5"/>
    <s v="Muriel Dcosta"/>
    <s v="V027MUD@cathaypacific.com"/>
    <s v="Personnel Administrator"/>
    <d v="2026-02-18T00:00:00"/>
    <m/>
    <m/>
    <m/>
    <d v="2026-04-28T00:00:00"/>
    <x v="1"/>
  </r>
  <r>
    <n v="136"/>
    <x v="6"/>
    <s v="Mustaqeem Patwekar "/>
    <s v="V027MUP@cathaypacific.com"/>
    <s v="Senior Officer"/>
    <m/>
    <m/>
    <d v="2025-10-29T00:00:00"/>
    <d v="2025-11-06T00:00:00"/>
    <d v="2026-05-12T00:00:00"/>
    <x v="1"/>
  </r>
  <r>
    <n v="137"/>
    <x v="0"/>
    <s v="Nafees Hussain Sayyed "/>
    <s v="V027NHS@cathaypacific.com"/>
    <s v="Inventory Specialist"/>
    <m/>
    <m/>
    <d v="2025-10-01T00:00:00"/>
    <d v="2025-11-04T00:00:00"/>
    <m/>
    <x v="2"/>
  </r>
  <r>
    <n v="138"/>
    <x v="6"/>
    <s v="Naimuddin Shaikh"/>
    <s v="V027NNS@cathaypacific.com"/>
    <s v="Inventory Specialist"/>
    <m/>
    <m/>
    <d v="2025-09-30T00:00:00"/>
    <m/>
    <m/>
    <x v="2"/>
  </r>
  <r>
    <n v="139"/>
    <x v="4"/>
    <s v="Narendra Chawan"/>
    <s v="V027NAC@cathaypacific.com"/>
    <s v="Senior Officer"/>
    <d v="2026-02-12T00:00:00"/>
    <d v="2026-03-04T00:00:00"/>
    <d v="2025-10-10T00:00:00"/>
    <m/>
    <d v="2026-05-05T00:00:00"/>
    <x v="1"/>
  </r>
  <r>
    <n v="140"/>
    <x v="10"/>
    <s v="Nikita Godambe"/>
    <s v="nikita_godambe@cathaypacific.com"/>
    <s v="Senior Officer"/>
    <d v="2026-01-29T00:00:00"/>
    <d v="2026-03-11T00:00:00"/>
    <d v="2025-10-10T00:00:00"/>
    <m/>
    <m/>
    <x v="2"/>
  </r>
  <r>
    <n v="141"/>
    <x v="15"/>
    <s v="Nikita Manjarekar"/>
    <s v="nikita_manjarekar@cathaypacific.com"/>
    <s v="Senior Officer"/>
    <m/>
    <d v="2026-03-10T00:00:00"/>
    <m/>
    <m/>
    <d v="2026-04-21T00:00:00"/>
    <x v="1"/>
  </r>
  <r>
    <n v="142"/>
    <x v="12"/>
    <s v="Nilesh Raghavan"/>
    <s v="nilesh_raghavan@cathaypacific.com"/>
    <s v="Senior Officer"/>
    <d v="2026-02-25T00:00:00"/>
    <m/>
    <d v="2025-11-05T00:00:00"/>
    <d v="2025-11-10T00:00:00"/>
    <m/>
    <x v="2"/>
  </r>
  <r>
    <n v="143"/>
    <x v="1"/>
    <s v="Niteen Bhosale "/>
    <s v="v027nib@cathaypacific.com"/>
    <s v="Senior Officer"/>
    <d v="2026-02-12T00:00:00"/>
    <d v="2026-03-24T00:00:00"/>
    <d v="2025-09-24T00:00:00"/>
    <d v="2025-10-31T00:00:00"/>
    <d v="2026-04-20T00:00:00"/>
    <x v="1"/>
  </r>
  <r>
    <n v="144"/>
    <x v="12"/>
    <s v="Nitesh Kadam"/>
    <s v="V027NIK@cathaypacific.com"/>
    <s v="Junior Officer"/>
    <d v="2026-01-28T00:00:00"/>
    <d v="2026-03-11T00:00:00"/>
    <d v="2025-10-10T00:00:00"/>
    <d v="2025-12-03T00:00:00"/>
    <m/>
    <x v="2"/>
  </r>
  <r>
    <n v="145"/>
    <x v="14"/>
    <s v="Nitesh Kadam "/>
    <s v="V027KAN@cathaypacific.com"/>
    <s v="Senior Officer"/>
    <m/>
    <d v="2026-03-04T00:00:00"/>
    <m/>
    <m/>
    <d v="2026-04-29T00:00:00"/>
    <x v="1"/>
  </r>
  <r>
    <n v="146"/>
    <x v="2"/>
    <s v="Nitesh Poojary"/>
    <s v="nitesh_poojary@cathaypacific.com"/>
    <s v="Senior Officer"/>
    <d v="2026-02-24T00:00:00"/>
    <d v="2026-03-16T00:00:00"/>
    <m/>
    <m/>
    <d v="2026-04-20T00:00:00"/>
    <x v="1"/>
  </r>
  <r>
    <n v="147"/>
    <x v="0"/>
    <s v="Nitin Bhise"/>
    <s v="V027NBE@cathaypacific.com"/>
    <s v="Senior Officer"/>
    <m/>
    <m/>
    <d v="2025-11-13T00:00:00"/>
    <d v="2025-12-03T00:00:00"/>
    <m/>
    <x v="2"/>
  </r>
  <r>
    <n v="148"/>
    <x v="2"/>
    <s v="Nitin Hangekar"/>
    <s v="nitin_hangekar@cathaypacific.com"/>
    <s v="Senior Officer"/>
    <d v="2026-01-27T00:00:00"/>
    <d v="2026-03-04T00:00:00"/>
    <d v="2025-09-19T00:00:00"/>
    <d v="2025-11-10T00:00:00"/>
    <d v="2026-04-27T00:00:00"/>
    <x v="1"/>
  </r>
  <r>
    <n v="149"/>
    <x v="4"/>
    <s v="Nitin Sondkar "/>
    <s v="v027nit@cathaypacific.com"/>
    <s v="Senior Officer"/>
    <d v="2026-02-12T00:00:00"/>
    <d v="2026-03-05T00:00:00"/>
    <m/>
    <m/>
    <d v="2026-04-23T00:00:00"/>
    <x v="1"/>
  </r>
  <r>
    <n v="150"/>
    <x v="7"/>
    <s v="Nuzah Roghay"/>
    <s v="nuzah_roghay@cathaypacific.com"/>
    <s v="Senior Officer"/>
    <m/>
    <m/>
    <m/>
    <m/>
    <m/>
    <x v="0"/>
  </r>
  <r>
    <n v="151"/>
    <x v="7"/>
    <s v="Pascol D'Souza"/>
    <s v="pascol_souza@cathaypacific.com"/>
    <s v="Senior Officer"/>
    <d v="2026-01-27T00:00:00"/>
    <d v="2026-03-11T00:00:00"/>
    <d v="2025-10-10T00:00:00"/>
    <d v="2025-11-04T00:00:00"/>
    <m/>
    <x v="2"/>
  </r>
  <r>
    <n v="152"/>
    <x v="15"/>
    <s v="Pooja Jethva"/>
    <s v="V027POJ@cathaypacific.com"/>
    <s v="Senior Officer"/>
    <m/>
    <m/>
    <m/>
    <m/>
    <d v="2026-04-23T00:00:00"/>
    <x v="1"/>
  </r>
  <r>
    <n v="153"/>
    <x v="7"/>
    <s v="Pooja Khanna"/>
    <s v="v027pok@cathaypacific.com"/>
    <s v="Senior Officer"/>
    <d v="2026-02-09T00:00:00"/>
    <d v="2026-03-10T00:00:00"/>
    <d v="2025-10-01T00:00:00"/>
    <d v="2025-11-04T00:00:00"/>
    <d v="2026-05-06T00:00:00"/>
    <x v="1"/>
  </r>
  <r>
    <n v="154"/>
    <x v="1"/>
    <s v="Pooja Mundekar"/>
    <s v="V027POM@cathaypacific.com"/>
    <s v="Senior Officer"/>
    <d v="2026-02-24T00:00:00"/>
    <m/>
    <m/>
    <m/>
    <d v="2026-04-27T00:00:00"/>
    <x v="1"/>
  </r>
  <r>
    <n v="155"/>
    <x v="1"/>
    <s v="Pooja Naik"/>
    <s v="v027pon@cathaypacific.com"/>
    <s v="Senior Officer"/>
    <d v="2026-02-03T00:00:00"/>
    <m/>
    <d v="2025-09-30T00:00:00"/>
    <d v="2025-12-03T00:00:00"/>
    <d v="2026-04-27T00:00:00"/>
    <x v="1"/>
  </r>
  <r>
    <n v="156"/>
    <x v="12"/>
    <s v="Prachi Birvadkar"/>
    <s v="prachi_birvadkar@cathaypacific.com"/>
    <s v="Senior Officer"/>
    <d v="2026-02-25T00:00:00"/>
    <d v="2026-03-24T00:00:00"/>
    <d v="2025-11-13T00:00:00"/>
    <m/>
    <m/>
    <x v="1"/>
  </r>
  <r>
    <n v="157"/>
    <x v="1"/>
    <s v="Prachi Dudwadkar "/>
    <s v="v027bpp@cathaypacific.com"/>
    <s v="Senior Officer"/>
    <d v="2026-01-29T00:00:00"/>
    <m/>
    <d v="2025-10-01T00:00:00"/>
    <d v="2025-12-16T00:00:00"/>
    <d v="2026-04-29T00:00:00"/>
    <x v="1"/>
  </r>
  <r>
    <n v="158"/>
    <x v="0"/>
    <s v="Pradeep Jagtap"/>
    <s v="V027PRJ@cathaypacific.com"/>
    <s v="Senior Officer"/>
    <m/>
    <m/>
    <m/>
    <m/>
    <d v="2026-04-23T00:00:00"/>
    <x v="1"/>
  </r>
  <r>
    <n v="159"/>
    <x v="1"/>
    <s v="Praful Kamble"/>
    <s v="v027ppk@cathaypacific.com"/>
    <s v="Senior Officer"/>
    <d v="2026-02-24T00:00:00"/>
    <m/>
    <d v="2025-09-30T00:00:00"/>
    <d v="2025-12-09T00:00:00"/>
    <m/>
    <x v="2"/>
  </r>
  <r>
    <n v="160"/>
    <x v="4"/>
    <s v="Prasad Gosavi"/>
    <s v="prasad_gosavi@cathaypacific.com"/>
    <s v="Loading Specialist"/>
    <d v="2026-02-04T00:00:00"/>
    <d v="2026-03-05T00:00:00"/>
    <d v="2025-09-10T00:00:00"/>
    <m/>
    <d v="2026-05-06T00:00:00"/>
    <x v="1"/>
  </r>
  <r>
    <n v="161"/>
    <x v="0"/>
    <s v="Prasad Khule"/>
    <s v="prasad_khule@cathaypacific.com"/>
    <s v="Inventory Specialist"/>
    <m/>
    <m/>
    <d v="2025-09-10T00:00:00"/>
    <d v="2025-12-03T00:00:00"/>
    <d v="2026-04-28T00:00:00"/>
    <x v="1"/>
  </r>
  <r>
    <n v="162"/>
    <x v="12"/>
    <s v="Prashant Bhekat"/>
    <s v="prashant_bhekat@cathaypacific.com"/>
    <s v="Junior Officer"/>
    <d v="2026-02-13T00:00:00"/>
    <m/>
    <d v="2025-10-29T00:00:00"/>
    <d v="2025-11-10T00:00:00"/>
    <m/>
    <x v="2"/>
  </r>
  <r>
    <n v="163"/>
    <x v="9"/>
    <s v="Prashant Haldankar"/>
    <s v="CPPPRH@cathaypacific.com"/>
    <s v="Senior Officer"/>
    <d v="2026-02-17T00:00:00"/>
    <d v="2026-03-11T00:00:00"/>
    <d v="2025-10-13T00:00:00"/>
    <m/>
    <d v="2026-05-12T00:00:00"/>
    <x v="1"/>
  </r>
  <r>
    <n v="164"/>
    <x v="0"/>
    <s v="Prashant Sawant"/>
    <s v="V027PPS@cathaypacific.com"/>
    <s v="Senior Officer"/>
    <d v="2026-01-29T00:00:00"/>
    <m/>
    <m/>
    <d v="2025-12-15T00:00:00"/>
    <d v="2026-04-29T00:00:00"/>
    <x v="1"/>
  </r>
  <r>
    <n v="165"/>
    <x v="1"/>
    <s v="Prathamesh Sawant "/>
    <s v="V027PRS@cathaypacific.com"/>
    <s v="Senior Officer"/>
    <m/>
    <m/>
    <d v="2025-09-23T00:00:00"/>
    <d v="2025-11-04T00:00:00"/>
    <m/>
    <x v="2"/>
  </r>
  <r>
    <n v="166"/>
    <x v="6"/>
    <s v="Prathamesh Tamne"/>
    <s v="V027PRT@cathaypacific.com"/>
    <s v="Inventory Specialist"/>
    <m/>
    <m/>
    <d v="2025-11-05T00:00:00"/>
    <d v="2025-12-15T00:00:00"/>
    <d v="2026-05-11T00:00:00"/>
    <x v="1"/>
  </r>
  <r>
    <n v="167"/>
    <x v="1"/>
    <s v="Pratik Hegde "/>
    <s v="v027bph@cathaypacific.com"/>
    <s v="Senior Officer"/>
    <d v="2026-02-23T00:00:00"/>
    <m/>
    <d v="2025-11-13T00:00:00"/>
    <d v="2025-12-09T00:00:00"/>
    <d v="2026-04-21T00:00:00"/>
    <x v="1"/>
  </r>
  <r>
    <n v="168"/>
    <x v="6"/>
    <s v="Pravin Shinde "/>
    <s v="V027PRA@cathaypacific.com"/>
    <s v="Senior Officer"/>
    <m/>
    <m/>
    <d v="2025-10-10T00:00:00"/>
    <d v="2025-12-15T00:00:00"/>
    <m/>
    <x v="2"/>
  </r>
  <r>
    <n v="169"/>
    <x v="3"/>
    <s v="Pravin Walam"/>
    <s v="V027PPW@cathaypacific.com"/>
    <s v="Senior Officer"/>
    <m/>
    <m/>
    <d v="2025-09-19T00:00:00"/>
    <m/>
    <m/>
    <x v="2"/>
  </r>
  <r>
    <n v="170"/>
    <x v="4"/>
    <s v="Preeti Patil"/>
    <s v="V027PRP@cathaypacific.com"/>
    <s v="Senior Officer"/>
    <d v="2026-02-23T00:00:00"/>
    <d v="2026-03-12T00:00:00"/>
    <d v="2025-10-10T00:00:00"/>
    <d v="2025-12-10T00:00:00"/>
    <m/>
    <x v="2"/>
  </r>
  <r>
    <n v="171"/>
    <x v="4"/>
    <s v="Preeti Tejani"/>
    <s v="preeti_tejani@cathaypacific.com"/>
    <s v="Loading Specialist"/>
    <d v="2026-02-18T00:00:00"/>
    <d v="2026-03-02T00:00:00"/>
    <d v="2025-09-10T00:00:00"/>
    <m/>
    <d v="2026-05-11T00:00:00"/>
    <x v="1"/>
  </r>
  <r>
    <n v="172"/>
    <x v="10"/>
    <s v="Priyanka Nijap"/>
    <s v="priyanka_nijap@cathaypacific.com"/>
    <s v="Senior Officer"/>
    <d v="2026-02-17T00:00:00"/>
    <d v="2026-03-25T00:00:00"/>
    <d v="2025-09-23T00:00:00"/>
    <m/>
    <d v="2026-04-23T00:00:00"/>
    <x v="1"/>
  </r>
  <r>
    <n v="173"/>
    <x v="9"/>
    <s v="Priyanka Parab"/>
    <s v="CPPPRIP@cathaypacific.com"/>
    <s v="Senior Officer"/>
    <d v="2026-01-29T00:00:00"/>
    <d v="2026-03-17T00:00:00"/>
    <d v="2025-09-30T00:00:00"/>
    <d v="2025-11-10T00:00:00"/>
    <d v="2026-04-21T00:00:00"/>
    <x v="1"/>
  </r>
  <r>
    <n v="174"/>
    <x v="2"/>
    <s v="Priyanka Zagade"/>
    <s v="v027prz@cathaypacific.com"/>
    <s v="Senior Officer"/>
    <d v="2026-02-03T00:00:00"/>
    <d v="2026-03-04T00:00:00"/>
    <d v="2025-10-01T00:00:00"/>
    <d v="2025-12-09T00:00:00"/>
    <d v="2026-04-21T00:00:00"/>
    <x v="1"/>
  </r>
  <r>
    <n v="175"/>
    <x v="7"/>
    <s v="Pupul Gavit"/>
    <s v="v027ppg@cathaypacific.com"/>
    <s v="Senior Officer"/>
    <d v="2026-02-02T00:00:00"/>
    <d v="2026-03-04T00:00:00"/>
    <d v="2025-10-10T00:00:00"/>
    <d v="2025-10-28T00:00:00"/>
    <d v="2026-04-27T00:00:00"/>
    <x v="1"/>
  </r>
  <r>
    <n v="176"/>
    <x v="8"/>
    <s v="Pushkar Pethe"/>
    <s v="pushkar_pethe@cathaypacific.com"/>
    <s v="Senior Officer"/>
    <d v="2026-02-24T00:00:00"/>
    <d v="2026-03-05T00:00:00"/>
    <m/>
    <m/>
    <m/>
    <x v="2"/>
  </r>
  <r>
    <n v="177"/>
    <x v="2"/>
    <s v="Rachana Kamble"/>
    <s v="v027rrk@cathaypacific.com"/>
    <s v="Junior Officer"/>
    <d v="2026-02-03T00:00:00"/>
    <d v="2026-03-02T00:00:00"/>
    <d v="2025-12-04T00:00:00"/>
    <d v="2025-12-03T00:00:00"/>
    <d v="2026-05-05T00:00:00"/>
    <x v="1"/>
  </r>
  <r>
    <n v="178"/>
    <x v="4"/>
    <s v="Rahul Agedkar "/>
    <s v="rahul_agedkar@cathaypacific.com"/>
    <s v="Loading Specialist"/>
    <d v="2026-02-13T00:00:00"/>
    <d v="2026-03-10T00:00:00"/>
    <d v="2025-09-24T00:00:00"/>
    <d v="2025-10-28T00:00:00"/>
    <m/>
    <x v="2"/>
  </r>
  <r>
    <n v="179"/>
    <x v="3"/>
    <s v="Rahul Goraksha"/>
    <s v="V027RAG@cathaypacific.com"/>
    <s v="Business Analyst"/>
    <m/>
    <m/>
    <m/>
    <m/>
    <m/>
    <x v="0"/>
  </r>
  <r>
    <n v="180"/>
    <x v="2"/>
    <s v="Rahul Palkar"/>
    <s v="v027rrp@cathaypacific.com"/>
    <s v="Junior Officer"/>
    <d v="2026-02-10T00:00:00"/>
    <d v="2026-03-04T00:00:00"/>
    <m/>
    <d v="2025-12-16T00:00:00"/>
    <d v="2026-04-28T00:00:00"/>
    <x v="1"/>
  </r>
  <r>
    <n v="181"/>
    <x v="1"/>
    <s v="Raj Raut"/>
    <s v="v027rrr@cathaypacific.com"/>
    <s v="Senior Officer"/>
    <d v="2026-02-09T00:00:00"/>
    <m/>
    <d v="2025-10-01T00:00:00"/>
    <d v="2025-10-31T00:00:00"/>
    <d v="2026-04-20T00:00:00"/>
    <x v="1"/>
  </r>
  <r>
    <n v="182"/>
    <x v="0"/>
    <s v="Rajendra Gautam "/>
    <s v="rajendra_gautam@cathaypacific.com"/>
    <s v="Senior Officer"/>
    <m/>
    <d v="2026-03-18T00:00:00"/>
    <d v="2025-09-10T00:00:00"/>
    <d v="2025-12-03T00:00:00"/>
    <m/>
    <x v="1"/>
  </r>
  <r>
    <n v="183"/>
    <x v="7"/>
    <s v="Rajendra Ugade"/>
    <s v="v027rau@cathaypacific.com"/>
    <s v="Senior Officer"/>
    <d v="2026-02-02T00:00:00"/>
    <m/>
    <d v="2025-11-05T00:00:00"/>
    <d v="2025-12-09T00:00:00"/>
    <m/>
    <x v="2"/>
  </r>
  <r>
    <n v="184"/>
    <x v="0"/>
    <s v="Rajesh Kahar"/>
    <s v="V027RJK@cathaypacific.com"/>
    <s v="Senior Officer"/>
    <m/>
    <m/>
    <d v="2025-09-19T00:00:00"/>
    <d v="2025-12-09T00:00:00"/>
    <d v="2026-04-21T00:00:00"/>
    <x v="1"/>
  </r>
  <r>
    <n v="185"/>
    <x v="0"/>
    <s v="Rajesh Singh"/>
    <s v="V027RAS@cathaypacific.com"/>
    <s v="Senior Officer"/>
    <m/>
    <m/>
    <d v="2025-12-04T00:00:00"/>
    <m/>
    <m/>
    <x v="2"/>
  </r>
  <r>
    <n v="186"/>
    <x v="7"/>
    <s v="Raju Yadav"/>
    <s v="raju_yadav@cathaypacific.com"/>
    <s v="Senior Officer"/>
    <d v="2026-02-24T00:00:00"/>
    <d v="2026-03-18T00:00:00"/>
    <d v="2025-11-05T00:00:00"/>
    <d v="2025-12-16T00:00:00"/>
    <m/>
    <x v="1"/>
  </r>
  <r>
    <n v="187"/>
    <x v="1"/>
    <s v="Ramchandran Kannan"/>
    <s v="V027RAK@cathaypacific.com"/>
    <s v="Senior Officer"/>
    <d v="2026-02-23T00:00:00"/>
    <m/>
    <d v="2025-10-10T00:00:00"/>
    <d v="2025-11-04T00:00:00"/>
    <m/>
    <x v="2"/>
  </r>
  <r>
    <n v="188"/>
    <x v="12"/>
    <s v="Rani Gaikwad "/>
    <s v="V027RRG@cathaypacific.com"/>
    <s v="Junior Officer"/>
    <d v="2026-01-28T00:00:00"/>
    <d v="2026-03-12T00:00:00"/>
    <d v="2025-10-01T00:00:00"/>
    <d v="2025-12-09T00:00:00"/>
    <d v="2026-04-27T00:00:00"/>
    <x v="1"/>
  </r>
  <r>
    <n v="189"/>
    <x v="8"/>
    <s v="Ravindra Patil"/>
    <s v="ravindra_patil@cathaypacific.com"/>
    <s v="Senior Officer"/>
    <m/>
    <d v="2026-03-18T00:00:00"/>
    <d v="2025-09-30T00:00:00"/>
    <d v="2025-12-10T00:00:00"/>
    <d v="2026-04-27T00:00:00"/>
    <x v="1"/>
  </r>
  <r>
    <n v="190"/>
    <x v="7"/>
    <s v="Reshma Chavan"/>
    <s v="v027rrc@cathaypacific.com"/>
    <s v="Junior Officer"/>
    <d v="2026-01-29T00:00:00"/>
    <d v="2026-03-12T00:00:00"/>
    <d v="2025-11-13T00:00:00"/>
    <d v="2025-12-03T00:00:00"/>
    <d v="2026-05-06T00:00:00"/>
    <x v="1"/>
  </r>
  <r>
    <n v="191"/>
    <x v="5"/>
    <s v="Ritu Montero"/>
    <s v="V027RRM@cathaypacific.com"/>
    <s v="Personnel Administrator"/>
    <d v="2026-02-11T00:00:00"/>
    <m/>
    <d v="2025-10-13T00:00:00"/>
    <d v="2025-11-10T00:00:00"/>
    <d v="2026-04-28T00:00:00"/>
    <x v="1"/>
  </r>
  <r>
    <n v="192"/>
    <x v="4"/>
    <s v="Robin Thomas"/>
    <s v="V027ROT@cathaypacific.com"/>
    <s v="Senior Officer"/>
    <d v="2026-02-10T00:00:00"/>
    <d v="2026-03-04T00:00:00"/>
    <d v="2025-09-19T00:00:00"/>
    <m/>
    <d v="2026-04-20T00:00:00"/>
    <x v="1"/>
  </r>
  <r>
    <n v="193"/>
    <x v="4"/>
    <s v="Rodrigues Swapnil"/>
    <s v="swapnil_rodrigues@cathaypacific.com"/>
    <s v="Loading Specialist"/>
    <d v="2026-02-11T00:00:00"/>
    <d v="2026-03-05T00:00:00"/>
    <d v="2025-09-10T00:00:00"/>
    <d v="2025-10-28T00:00:00"/>
    <d v="2026-04-28T00:00:00"/>
    <x v="1"/>
  </r>
  <r>
    <n v="194"/>
    <x v="12"/>
    <s v="Rohan Kalambe"/>
    <s v="V027RK@cathaypacific.com"/>
    <s v="Junior Officer"/>
    <d v="2026-02-13T00:00:00"/>
    <d v="2026-03-18T00:00:00"/>
    <m/>
    <d v="2025-12-15T00:00:00"/>
    <m/>
    <x v="1"/>
  </r>
  <r>
    <n v="195"/>
    <x v="12"/>
    <s v="Rohan Lopes"/>
    <s v="rohan_lopes@cathaypacific.com"/>
    <s v="Senior Officer"/>
    <d v="2026-02-25T00:00:00"/>
    <d v="2026-03-25T00:00:00"/>
    <d v="2025-11-13T00:00:00"/>
    <d v="2025-12-03T00:00:00"/>
    <m/>
    <x v="1"/>
  </r>
  <r>
    <n v="196"/>
    <x v="6"/>
    <s v="Rohit Mainkar"/>
    <s v="V027ROM@cathaypacific.com"/>
    <s v="Senior Officer"/>
    <d v="2026-02-13T00:00:00"/>
    <d v="2026-03-05T00:00:00"/>
    <d v="2025-09-24T00:00:00"/>
    <d v="2025-10-28T00:00:00"/>
    <d v="2026-05-11T00:00:00"/>
    <x v="1"/>
  </r>
  <r>
    <n v="197"/>
    <x v="12"/>
    <s v="Roshani Patole"/>
    <s v="V027PRR@cathaypacific.com"/>
    <s v="Junior Officer"/>
    <d v="2026-02-10T00:00:00"/>
    <d v="2026-03-11T00:00:00"/>
    <d v="2025-09-10T00:00:00"/>
    <d v="2025-10-28T00:00:00"/>
    <d v="2026-04-23T00:00:00"/>
    <x v="1"/>
  </r>
  <r>
    <n v="198"/>
    <x v="7"/>
    <s v="Ruchira Mest"/>
    <s v="v027rum@cathaypacific.com"/>
    <s v="Junior Officer"/>
    <d v="2026-01-28T00:00:00"/>
    <d v="2026-03-05T00:00:00"/>
    <d v="2025-09-10T00:00:00"/>
    <d v="2025-10-31T00:00:00"/>
    <d v="2026-04-23T00:00:00"/>
    <x v="1"/>
  </r>
  <r>
    <n v="199"/>
    <x v="4"/>
    <s v="Rupali Pardeshi"/>
    <s v="rupali_paradeshi@cathaypacific.com"/>
    <s v="Loading Specialist"/>
    <d v="2026-02-09T00:00:00"/>
    <d v="2026-03-02T00:00:00"/>
    <d v="2025-09-24T00:00:00"/>
    <d v="2025-12-15T00:00:00"/>
    <m/>
    <x v="2"/>
  </r>
  <r>
    <n v="200"/>
    <x v="4"/>
    <s v="Rupali Pawar "/>
    <s v="V027RUP@cathaypacific.com"/>
    <s v="Senior Officer"/>
    <d v="2026-02-03T00:00:00"/>
    <d v="2026-03-11T00:00:00"/>
    <d v="2025-09-24T00:00:00"/>
    <d v="2025-12-15T00:00:00"/>
    <d v="2026-05-12T00:00:00"/>
    <x v="1"/>
  </r>
  <r>
    <n v="201"/>
    <x v="12"/>
    <s v="Rutika Dubal"/>
    <s v="V027RUD@cathaypacific.com"/>
    <s v="Junior Officer"/>
    <d v="2026-02-17T00:00:00"/>
    <d v="2026-03-02T00:00:00"/>
    <d v="2025-10-13T00:00:00"/>
    <d v="2025-12-15T00:00:00"/>
    <d v="2026-04-20T00:00:00"/>
    <x v="1"/>
  </r>
  <r>
    <n v="202"/>
    <x v="4"/>
    <s v="Sachin Bangera "/>
    <s v="Sachin_Bangera@cathaypacific.com"/>
    <s v="Senior Officer"/>
    <d v="2026-02-04T00:00:00"/>
    <d v="2026-03-04T00:00:00"/>
    <d v="2025-09-23T00:00:00"/>
    <m/>
    <d v="2026-05-11T00:00:00"/>
    <x v="1"/>
  </r>
  <r>
    <n v="203"/>
    <x v="7"/>
    <s v="Sachin Dafle"/>
    <s v="v027ssd@cathaypacific.com"/>
    <s v="Junior Officer"/>
    <d v="2026-02-03T00:00:00"/>
    <d v="2026-03-17T00:00:00"/>
    <d v="2025-09-19T00:00:00"/>
    <d v="2025-10-31T00:00:00"/>
    <m/>
    <x v="1"/>
  </r>
  <r>
    <n v="204"/>
    <x v="0"/>
    <s v="Sachin Gaikwad"/>
    <s v="V027SSW@cathaypacific.com"/>
    <s v="Senior Officer"/>
    <m/>
    <m/>
    <d v="2025-09-30T00:00:00"/>
    <m/>
    <d v="2026-04-21T00:00:00"/>
    <x v="1"/>
  </r>
  <r>
    <n v="205"/>
    <x v="1"/>
    <s v="Sachin Mali"/>
    <s v="v027sasm@cathaypacific.com"/>
    <s v="Senior Officer"/>
    <d v="2026-02-03T00:00:00"/>
    <m/>
    <d v="2025-10-01T00:00:00"/>
    <m/>
    <m/>
    <x v="2"/>
  </r>
  <r>
    <n v="206"/>
    <x v="6"/>
    <s v="Sachin Nishad"/>
    <s v="V027SSM@cathaypacific.com"/>
    <s v="Junior Officer"/>
    <m/>
    <m/>
    <d v="2025-09-19T00:00:00"/>
    <d v="2025-10-28T00:00:00"/>
    <d v="2026-04-20T00:00:00"/>
    <x v="1"/>
  </r>
  <r>
    <n v="207"/>
    <x v="4"/>
    <s v="Sachin Pawshe"/>
    <s v="V027PAS@cathaypacific.com"/>
    <s v="Senior Officer"/>
    <d v="2026-02-24T00:00:00"/>
    <d v="2026-03-18T00:00:00"/>
    <d v="2025-10-01T00:00:00"/>
    <d v="2025-12-10T00:00:00"/>
    <m/>
    <x v="1"/>
  </r>
  <r>
    <n v="208"/>
    <x v="4"/>
    <s v="Sadaf Husain Shaikh"/>
    <s v="V027SSS@cathaypacific.com"/>
    <s v="Senior Officer"/>
    <d v="2026-02-18T00:00:00"/>
    <d v="2026-03-05T00:00:00"/>
    <d v="2025-10-29T00:00:00"/>
    <d v="2025-12-03T00:00:00"/>
    <d v="2026-05-05T00:00:00"/>
    <x v="1"/>
  </r>
  <r>
    <n v="209"/>
    <x v="15"/>
    <s v="Sagar Jagzap"/>
    <s v="v027ssj@cathaypacific.com"/>
    <s v="Senior Officer"/>
    <m/>
    <d v="2026-03-11T00:00:00"/>
    <d v="2025-09-30T00:00:00"/>
    <m/>
    <m/>
    <x v="2"/>
  </r>
  <r>
    <n v="210"/>
    <x v="0"/>
    <s v="Sagar Kosambi"/>
    <s v="sagar_kosambi@cathaypacific.com"/>
    <s v="Inventory Specialist"/>
    <m/>
    <m/>
    <d v="2025-11-05T00:00:00"/>
    <d v="2025-11-10T00:00:00"/>
    <m/>
    <x v="2"/>
  </r>
  <r>
    <n v="211"/>
    <x v="0"/>
    <s v="Sagar Purat "/>
    <s v="V027PUS@cathaypacific.com"/>
    <s v="Senior Officer"/>
    <m/>
    <m/>
    <d v="2025-10-13T00:00:00"/>
    <d v="2025-10-31T00:00:00"/>
    <d v="2026-04-27T00:00:00"/>
    <x v="1"/>
  </r>
  <r>
    <n v="212"/>
    <x v="0"/>
    <s v="Sagar Shedge"/>
    <s v="sagar_shedge@cathaypacific.com"/>
    <s v="Senior Officer"/>
    <m/>
    <m/>
    <d v="2025-12-04T00:00:00"/>
    <m/>
    <m/>
    <x v="2"/>
  </r>
  <r>
    <n v="213"/>
    <x v="12"/>
    <s v="Sammy Almeida"/>
    <s v="sammy_almeida@cathaypacific.com"/>
    <s v="Senior Officer"/>
    <d v="2026-02-24T00:00:00"/>
    <m/>
    <m/>
    <m/>
    <m/>
    <x v="2"/>
  </r>
  <r>
    <n v="214"/>
    <x v="6"/>
    <s v="Sandeep Mane"/>
    <s v="sandeep_mane@cathaypacific.com"/>
    <s v="Inventory Specialist"/>
    <m/>
    <m/>
    <m/>
    <m/>
    <d v="2026-04-28T00:00:00"/>
    <x v="1"/>
  </r>
  <r>
    <n v="215"/>
    <x v="2"/>
    <s v="Sandeep Pandhare"/>
    <s v="V027SAP@cathaypacific.com"/>
    <s v="Senior Officer"/>
    <d v="2026-02-10T00:00:00"/>
    <d v="2026-03-02T00:00:00"/>
    <d v="2025-11-05T00:00:00"/>
    <d v="2025-12-15T00:00:00"/>
    <d v="2026-04-23T00:00:00"/>
    <x v="1"/>
  </r>
  <r>
    <n v="216"/>
    <x v="6"/>
    <s v="Sangeeta Kotian"/>
    <s v="Sangeeta_Kotian@cathaypacific.com"/>
    <s v="Senior Officer"/>
    <m/>
    <m/>
    <d v="2025-09-10T00:00:00"/>
    <d v="2025-10-28T00:00:00"/>
    <m/>
    <x v="2"/>
  </r>
  <r>
    <n v="217"/>
    <x v="12"/>
    <s v="Sangpal Bagul "/>
    <s v="sangpal_bagul@cathaypacific.com"/>
    <s v="Junior Officer"/>
    <m/>
    <d v="2026-03-05T00:00:00"/>
    <d v="2025-09-23T00:00:00"/>
    <m/>
    <d v="2026-04-27T00:00:00"/>
    <x v="1"/>
  </r>
  <r>
    <n v="218"/>
    <x v="1"/>
    <s v="Sangram Pawar "/>
    <s v="v027saw@cathaypacific.com"/>
    <s v="Senior Officer"/>
    <d v="2026-01-29T00:00:00"/>
    <m/>
    <d v="2025-09-23T00:00:00"/>
    <d v="2025-10-31T00:00:00"/>
    <d v="2026-05-11T00:00:00"/>
    <x v="1"/>
  </r>
  <r>
    <n v="219"/>
    <x v="0"/>
    <s v="Sanjay Rawat"/>
    <s v="V027RSS@cathaypacific.com"/>
    <s v="Senior Officer"/>
    <m/>
    <m/>
    <d v="2025-12-04T00:00:00"/>
    <m/>
    <m/>
    <x v="2"/>
  </r>
  <r>
    <n v="220"/>
    <x v="1"/>
    <s v="Sanket Kasle"/>
    <s v="sanket_kasle@cathaypacific.com"/>
    <s v="Senior Officer"/>
    <d v="2026-02-25T00:00:00"/>
    <m/>
    <d v="2025-11-13T00:00:00"/>
    <d v="2025-12-15T00:00:00"/>
    <d v="2026-05-11T00:00:00"/>
    <x v="1"/>
  </r>
  <r>
    <n v="221"/>
    <x v="4"/>
    <s v="Santosh Jadhav"/>
    <s v="santosh_jadhav@cathaypacific.com"/>
    <s v="Loading Specialist"/>
    <d v="2026-02-03T00:00:00"/>
    <d v="2026-03-10T00:00:00"/>
    <m/>
    <m/>
    <m/>
    <x v="2"/>
  </r>
  <r>
    <n v="222"/>
    <x v="3"/>
    <s v="Santosh Kamath"/>
    <s v="santosh_kamath@cathaypacific.com"/>
    <s v="Senior Officer"/>
    <m/>
    <m/>
    <m/>
    <m/>
    <m/>
    <x v="0"/>
  </r>
  <r>
    <n v="223"/>
    <x v="4"/>
    <s v="Sarfaraz Ansari"/>
    <s v="V027ANS@cathaypacific.com"/>
    <s v="Senior Officer"/>
    <d v="2026-02-24T00:00:00"/>
    <d v="2026-03-12T00:00:00"/>
    <d v="2025-10-29T00:00:00"/>
    <d v="2025-12-10T00:00:00"/>
    <m/>
    <x v="2"/>
  </r>
  <r>
    <n v="224"/>
    <x v="4"/>
    <s v="Satish Jadhav "/>
    <s v="Satish_Jadhav@cathaypacific.com"/>
    <s v="Loading Specialist"/>
    <d v="2026-02-10T00:00:00"/>
    <d v="2026-03-17T00:00:00"/>
    <d v="2025-11-05T00:00:00"/>
    <m/>
    <d v="2026-05-12T00:00:00"/>
    <x v="1"/>
  </r>
  <r>
    <n v="225"/>
    <x v="12"/>
    <s v="Sayali Barhat"/>
    <s v="V027SSB@cathaypacific.com"/>
    <s v="Junior Officer"/>
    <d v="2026-02-18T00:00:00"/>
    <d v="2026-03-04T00:00:00"/>
    <d v="2025-10-13T00:00:00"/>
    <d v="2025-11-04T00:00:00"/>
    <m/>
    <x v="2"/>
  </r>
  <r>
    <n v="226"/>
    <x v="0"/>
    <s v="Seema Solanki"/>
    <s v="V027SES@cathaypacific.com"/>
    <s v="Senior Officer"/>
    <m/>
    <m/>
    <d v="2025-10-29T00:00:00"/>
    <m/>
    <d v="2026-04-27T00:00:00"/>
    <x v="1"/>
  </r>
  <r>
    <n v="227"/>
    <x v="10"/>
    <s v="Shagufta Retiwala"/>
    <s v="v027ssr@cathaypacific.com"/>
    <s v="Senior Officer"/>
    <d v="2026-02-02T00:00:00"/>
    <d v="2026-03-24T00:00:00"/>
    <d v="2025-09-19T00:00:00"/>
    <d v="2025-12-03T00:00:00"/>
    <d v="2026-04-23T00:00:00"/>
    <x v="1"/>
  </r>
  <r>
    <n v="228"/>
    <x v="6"/>
    <s v="Shailesh Parab"/>
    <s v="V027SHP@cathaypacific.com"/>
    <s v="Senior Officer"/>
    <m/>
    <m/>
    <d v="2025-09-19T00:00:00"/>
    <d v="2025-11-04T00:00:00"/>
    <m/>
    <x v="2"/>
  </r>
  <r>
    <n v="229"/>
    <x v="1"/>
    <s v="Shams Pawaskar"/>
    <s v="v027spa@cathaypacific.com"/>
    <s v="Senior Officer"/>
    <d v="2026-02-11T00:00:00"/>
    <m/>
    <d v="2025-10-13T00:00:00"/>
    <d v="2025-10-31T00:00:00"/>
    <m/>
    <x v="2"/>
  </r>
  <r>
    <n v="230"/>
    <x v="15"/>
    <s v="Shankar Achari"/>
    <s v="shankar_achari@cathaypacific.com"/>
    <s v="Finance Specialist"/>
    <m/>
    <d v="2026-03-17T00:00:00"/>
    <m/>
    <m/>
    <d v="2026-04-28T00:00:00"/>
    <x v="1"/>
  </r>
  <r>
    <n v="231"/>
    <x v="4"/>
    <s v="Sharon Thomas"/>
    <s v="sharon_thomas@cathaypacific.com"/>
    <s v="Loading Specialist"/>
    <d v="2026-02-02T00:00:00"/>
    <d v="2026-03-10T00:00:00"/>
    <m/>
    <m/>
    <d v="2026-04-27T00:00:00"/>
    <x v="1"/>
  </r>
  <r>
    <n v="232"/>
    <x v="4"/>
    <s v="Shashank Jadhav"/>
    <s v="shashank_jadhav@cathaypacific.com"/>
    <s v="Loading Specialist"/>
    <d v="2026-01-28T00:00:00"/>
    <d v="2026-03-04T00:00:00"/>
    <m/>
    <m/>
    <d v="2026-04-27T00:00:00"/>
    <x v="1"/>
  </r>
  <r>
    <n v="233"/>
    <x v="4"/>
    <s v="Shaziya Sayeed"/>
    <s v="shaziya_sayeed@cathaypacific.com"/>
    <s v="Senior Officer"/>
    <d v="2026-02-12T00:00:00"/>
    <d v="2026-03-02T00:00:00"/>
    <d v="2025-09-23T00:00:00"/>
    <m/>
    <m/>
    <x v="2"/>
  </r>
  <r>
    <n v="234"/>
    <x v="4"/>
    <s v="Shishir Pabrekar"/>
    <s v="shishir_pabrekar@cathaypacific.com"/>
    <s v="Loading Specialist"/>
    <d v="2026-01-28T00:00:00"/>
    <d v="2026-03-02T00:00:00"/>
    <d v="2025-09-30T00:00:00"/>
    <d v="2025-12-03T00:00:00"/>
    <m/>
    <x v="2"/>
  </r>
  <r>
    <n v="235"/>
    <x v="0"/>
    <s v="Shravan Acharya"/>
    <s v="V027SHA@cathaypacific.com"/>
    <s v="Senior Officer"/>
    <m/>
    <m/>
    <d v="2025-09-19T00:00:00"/>
    <m/>
    <d v="2026-05-05T00:00:00"/>
    <x v="1"/>
  </r>
  <r>
    <n v="236"/>
    <x v="1"/>
    <s v="Shrunal Nangare"/>
    <s v="shrunal_nangare@cathaypacific.com"/>
    <s v="Senior Officer"/>
    <d v="2026-02-12T00:00:00"/>
    <m/>
    <d v="2025-09-30T00:00:00"/>
    <d v="2025-10-31T00:00:00"/>
    <d v="2026-04-28T00:00:00"/>
    <x v="1"/>
  </r>
  <r>
    <n v="237"/>
    <x v="12"/>
    <s v="Shubham Khanvilkar"/>
    <s v="V027KHS@cathaypacific.com"/>
    <s v="Junior Officer"/>
    <m/>
    <d v="2026-03-24T00:00:00"/>
    <d v="2025-09-19T00:00:00"/>
    <d v="2025-12-09T00:00:00"/>
    <m/>
    <x v="1"/>
  </r>
  <r>
    <n v="238"/>
    <x v="4"/>
    <s v="Shweta Lokhande"/>
    <s v="v027ssl@cathaypacific.com"/>
    <s v="Senior Officer"/>
    <d v="2026-02-13T00:00:00"/>
    <d v="2026-03-05T00:00:00"/>
    <d v="2025-09-24T00:00:00"/>
    <d v="2025-12-10T00:00:00"/>
    <d v="2026-05-12T00:00:00"/>
    <x v="1"/>
  </r>
  <r>
    <n v="239"/>
    <x v="14"/>
    <s v="Shweta Sawant"/>
    <s v="V027SHW@cathaypacific.com"/>
    <s v="Senior Officer"/>
    <m/>
    <d v="2026-03-17T00:00:00"/>
    <d v="2025-11-13T00:00:00"/>
    <m/>
    <d v="2026-04-27T00:00:00"/>
    <x v="1"/>
  </r>
  <r>
    <n v="240"/>
    <x v="8"/>
    <s v="Shyamal Gaonkar "/>
    <s v="V027SHG@cathaypacific.com"/>
    <s v="Junior Officer"/>
    <d v="2026-02-03T00:00:00"/>
    <d v="2026-03-02T00:00:00"/>
    <d v="2025-10-10T00:00:00"/>
    <d v="2025-10-28T00:00:00"/>
    <d v="2026-04-21T00:00:00"/>
    <x v="1"/>
  </r>
  <r>
    <n v="241"/>
    <x v="12"/>
    <s v="Snehal Patil"/>
    <s v="snehal_patil@cathaypacific.com"/>
    <s v="Senior Officer"/>
    <m/>
    <m/>
    <m/>
    <m/>
    <m/>
    <x v="0"/>
  </r>
  <r>
    <n v="242"/>
    <x v="6"/>
    <s v="Sonalee Korgaonkar"/>
    <s v="V027SOK@cathaypacific.com"/>
    <s v="Inventory Specialist"/>
    <m/>
    <m/>
    <d v="2025-09-24T00:00:00"/>
    <m/>
    <m/>
    <x v="2"/>
  </r>
  <r>
    <n v="243"/>
    <x v="0"/>
    <s v="Sonali Haraskar "/>
    <s v="V027SSH@cathaypacific.com"/>
    <s v="Senior Officer"/>
    <m/>
    <m/>
    <d v="2025-11-13T00:00:00"/>
    <m/>
    <d v="2026-04-20T00:00:00"/>
    <x v="1"/>
  </r>
  <r>
    <n v="244"/>
    <x v="12"/>
    <s v="Stany Gomes"/>
    <s v="stany_gomes@cathaypacific.com"/>
    <s v="Senior Officer"/>
    <m/>
    <m/>
    <d v="2025-12-04T00:00:00"/>
    <d v="2025-12-09T00:00:00"/>
    <m/>
    <x v="2"/>
  </r>
  <r>
    <n v="245"/>
    <x v="2"/>
    <s v="Suchita Chandorkar"/>
    <s v="suchita_chandorkar@cathaypacific.com"/>
    <s v="Senior Officer"/>
    <d v="2026-02-17T00:00:00"/>
    <d v="2026-03-11T00:00:00"/>
    <d v="2025-09-10T00:00:00"/>
    <d v="2025-10-28T00:00:00"/>
    <d v="2026-05-06T00:00:00"/>
    <x v="1"/>
  </r>
  <r>
    <n v="246"/>
    <x v="4"/>
    <s v="Sudhir Gauda"/>
    <s v="V027SUG@cathaypacific.com"/>
    <s v="Senior Officer"/>
    <d v="2026-02-17T00:00:00"/>
    <d v="2026-03-02T00:00:00"/>
    <d v="2025-09-10T00:00:00"/>
    <d v="2025-12-03T00:00:00"/>
    <m/>
    <x v="2"/>
  </r>
  <r>
    <n v="247"/>
    <x v="4"/>
    <s v="Suhel Khan"/>
    <s v="suhel_khan@cathaypacific.com"/>
    <s v="Loading Specialist"/>
    <d v="2026-01-29T00:00:00"/>
    <d v="2026-03-24T00:00:00"/>
    <m/>
    <m/>
    <d v="2026-05-12T00:00:00"/>
    <x v="1"/>
  </r>
  <r>
    <n v="248"/>
    <x v="12"/>
    <s v="Sujata Dhanapgol"/>
    <s v="sujata_dhanapgol@cathaypacific.com"/>
    <s v="Senior Officer"/>
    <d v="2026-01-27T00:00:00"/>
    <m/>
    <m/>
    <d v="2025-12-16T00:00:00"/>
    <m/>
    <x v="2"/>
  </r>
  <r>
    <n v="249"/>
    <x v="1"/>
    <s v="Sumit Patil "/>
    <s v="V027SUP@cathaypacific.com"/>
    <s v="Senior Officer"/>
    <d v="2026-02-24T00:00:00"/>
    <m/>
    <m/>
    <m/>
    <d v="2026-04-29T00:00:00"/>
    <x v="1"/>
  </r>
  <r>
    <n v="250"/>
    <x v="4"/>
    <s v="Sumit Todankar"/>
    <s v="V027SUT@cathaypacific.com"/>
    <s v="Junior Officer"/>
    <d v="2026-02-23T00:00:00"/>
    <d v="2026-03-11T00:00:00"/>
    <d v="2025-10-10T00:00:00"/>
    <d v="2025-12-10T00:00:00"/>
    <d v="2026-05-12T00:00:00"/>
    <x v="1"/>
  </r>
  <r>
    <n v="251"/>
    <x v="4"/>
    <s v="Sunil Bhosale "/>
    <s v="sunil_bhosale@cathaypacific.com"/>
    <s v="Loading Specialist"/>
    <d v="2026-02-09T00:00:00"/>
    <d v="2026-03-05T00:00:00"/>
    <m/>
    <m/>
    <m/>
    <x v="2"/>
  </r>
  <r>
    <n v="252"/>
    <x v="8"/>
    <s v="Sunil Pevekar"/>
    <s v="sunil_pevekar@cathaypacific.com"/>
    <s v="Senior Officer"/>
    <d v="2026-01-27T00:00:00"/>
    <d v="2026-03-16T00:00:00"/>
    <d v="2025-10-13T00:00:00"/>
    <d v="2025-12-09T00:00:00"/>
    <d v="2026-05-12T00:00:00"/>
    <x v="1"/>
  </r>
  <r>
    <n v="253"/>
    <x v="12"/>
    <s v="Supriya Hate"/>
    <s v="supr_sh_hate@cathaypacific.com"/>
    <s v="Junior Officer"/>
    <d v="2026-02-25T00:00:00"/>
    <d v="2026-03-25T00:00:00"/>
    <m/>
    <m/>
    <m/>
    <x v="1"/>
  </r>
  <r>
    <n v="254"/>
    <x v="0"/>
    <s v="Suraraj Patil"/>
    <s v="suraraj_patil@cathaypacific.com"/>
    <s v="Inventory Specialist"/>
    <m/>
    <m/>
    <m/>
    <m/>
    <m/>
    <x v="0"/>
  </r>
  <r>
    <n v="255"/>
    <x v="7"/>
    <s v="Sushant Patkar"/>
    <s v="v027ssp@cathaypacific.com"/>
    <s v="Junior Officer"/>
    <d v="2026-02-09T00:00:00"/>
    <m/>
    <d v="2025-09-19T00:00:00"/>
    <d v="2025-11-10T00:00:00"/>
    <d v="2026-04-27T00:00:00"/>
    <x v="1"/>
  </r>
  <r>
    <n v="256"/>
    <x v="8"/>
    <s v="Sushil Ghorpade"/>
    <s v="sushil_ghorpade@cathaypacific.com"/>
    <s v="Junior Officer"/>
    <d v="2026-01-27T00:00:00"/>
    <d v="2026-03-11T00:00:00"/>
    <d v="2025-09-23T00:00:00"/>
    <d v="2025-12-15T00:00:00"/>
    <m/>
    <x v="2"/>
  </r>
  <r>
    <n v="257"/>
    <x v="0"/>
    <s v="Swapnil Rahate"/>
    <s v="swapnil_rahate@cathaypacific.com"/>
    <s v="Inventory Specialist"/>
    <m/>
    <m/>
    <m/>
    <m/>
    <d v="2026-05-11T00:00:00"/>
    <x v="1"/>
  </r>
  <r>
    <n v="258"/>
    <x v="4"/>
    <s v="Swasti Pednekar "/>
    <s v="V027SWP@cathaypacific.com"/>
    <s v="Senior Officer"/>
    <d v="2026-02-23T00:00:00"/>
    <d v="2026-03-18T00:00:00"/>
    <d v="2025-11-05T00:00:00"/>
    <d v="2025-12-15T00:00:00"/>
    <d v="2026-04-21T00:00:00"/>
    <x v="1"/>
  </r>
  <r>
    <n v="259"/>
    <x v="6"/>
    <s v="Swati Saravade"/>
    <s v="swati_saravade@cathaypacific.com"/>
    <s v="Inventory Specialist"/>
    <m/>
    <m/>
    <d v="2025-09-24T00:00:00"/>
    <d v="2025-11-10T00:00:00"/>
    <d v="2026-04-21T00:00:00"/>
    <x v="1"/>
  </r>
  <r>
    <n v="260"/>
    <x v="0"/>
    <s v="Swati Yadav"/>
    <s v="V027SSY@cathaypacific.com"/>
    <s v="Senior Officer"/>
    <m/>
    <m/>
    <d v="2025-09-30T00:00:00"/>
    <d v="2025-11-04T00:00:00"/>
    <m/>
    <x v="2"/>
  </r>
  <r>
    <n v="261"/>
    <x v="10"/>
    <s v="Sweetan Bhandu"/>
    <s v="sweetan_bhandu@cathaypacific.com"/>
    <s v="Ticketing Specialist"/>
    <d v="2026-02-17T00:00:00"/>
    <d v="2026-03-05T00:00:00"/>
    <d v="2025-09-24T00:00:00"/>
    <m/>
    <d v="2026-04-21T00:00:00"/>
    <x v="1"/>
  </r>
  <r>
    <n v="262"/>
    <x v="6"/>
    <s v="Tanmeet Kaur Rathod "/>
    <s v="V027TKR@cathaypacific.com"/>
    <s v="Senior Officer"/>
    <m/>
    <m/>
    <d v="2025-09-10T00:00:00"/>
    <m/>
    <d v="2026-04-20T00:00:00"/>
    <x v="1"/>
  </r>
  <r>
    <n v="263"/>
    <x v="12"/>
    <s v="Tanvi Ranwala"/>
    <s v="tanvi_ranwala@cathaypacific.com"/>
    <s v="Senior Officer"/>
    <d v="2026-02-25T00:00:00"/>
    <m/>
    <d v="2025-10-13T00:00:00"/>
    <m/>
    <m/>
    <x v="2"/>
  </r>
  <r>
    <n v="264"/>
    <x v="0"/>
    <s v="Tejal Salunke "/>
    <s v="V027SAT@cathaypacific.com"/>
    <s v="Senior Officer"/>
    <m/>
    <m/>
    <d v="2025-12-04T00:00:00"/>
    <m/>
    <d v="2026-05-06T00:00:00"/>
    <x v="1"/>
  </r>
  <r>
    <n v="265"/>
    <x v="12"/>
    <s v="Tejas Vanjari"/>
    <s v="v027ttv@cathaypacific.com"/>
    <s v="Junior Officer"/>
    <d v="2026-01-27T00:00:00"/>
    <d v="2026-03-16T00:00:00"/>
    <d v="2025-09-29T00:00:00"/>
    <d v="2025-10-28T00:00:00"/>
    <m/>
    <x v="1"/>
  </r>
  <r>
    <n v="266"/>
    <x v="2"/>
    <s v="Trupti Chavan"/>
    <s v="trupti_chavan@cathaypacific.com"/>
    <s v="Senior Officer"/>
    <d v="2026-02-10T00:00:00"/>
    <d v="2026-03-11T00:00:00"/>
    <d v="2025-11-13T00:00:00"/>
    <d v="2025-12-10T00:00:00"/>
    <d v="2026-04-29T00:00:00"/>
    <x v="1"/>
  </r>
  <r>
    <n v="267"/>
    <x v="12"/>
    <s v="Tushar Ghodke"/>
    <s v="tushar_ghodke@cathaypacific.com"/>
    <s v="Senior Officer"/>
    <d v="2026-02-18T00:00:00"/>
    <d v="2026-03-25T00:00:00"/>
    <d v="2025-10-13T00:00:00"/>
    <m/>
    <m/>
    <x v="1"/>
  </r>
  <r>
    <n v="268"/>
    <x v="6"/>
    <s v="Umesh Godimani "/>
    <s v="V027UG@cathaypacific.com"/>
    <s v="Senior Officer"/>
    <m/>
    <m/>
    <m/>
    <m/>
    <m/>
    <x v="0"/>
  </r>
  <r>
    <n v="269"/>
    <x v="0"/>
    <s v="Vaibhav Asolkar"/>
    <s v="V027CCS@cathaypacific.com"/>
    <s v="Senior Officer"/>
    <m/>
    <m/>
    <d v="2025-10-10T00:00:00"/>
    <d v="2025-12-03T00:00:00"/>
    <d v="2026-04-21T00:00:00"/>
    <x v="1"/>
  </r>
  <r>
    <n v="270"/>
    <x v="0"/>
    <s v="Vaibhavi Atale"/>
    <s v="V027VAA@cathaypacific.com"/>
    <s v="Senior Officer"/>
    <m/>
    <m/>
    <d v="2025-10-29T00:00:00"/>
    <m/>
    <m/>
    <x v="2"/>
  </r>
  <r>
    <n v="271"/>
    <x v="8"/>
    <s v="Vibhavari Khandekar"/>
    <s v="vibhavari_khandekar@cathaypacific.com"/>
    <s v="Senior Officer"/>
    <d v="2026-02-24T00:00:00"/>
    <d v="2026-03-05T00:00:00"/>
    <d v="2025-09-10T00:00:00"/>
    <d v="2025-12-09T00:00:00"/>
    <d v="2026-04-20T00:00:00"/>
    <x v="1"/>
  </r>
  <r>
    <n v="272"/>
    <x v="4"/>
    <s v="Vidya Kadam"/>
    <s v="vidya_kadam@cathaypacific.com"/>
    <s v="Loading Specialist"/>
    <d v="2026-02-04T00:00:00"/>
    <d v="2026-03-04T00:00:00"/>
    <d v="2025-12-04T00:00:00"/>
    <m/>
    <m/>
    <x v="2"/>
  </r>
  <r>
    <n v="273"/>
    <x v="0"/>
    <s v="Vikram Lohar"/>
    <s v="V027VIL@cathaypacific.com"/>
    <s v="Senior Officer"/>
    <m/>
    <m/>
    <d v="2025-10-10T00:00:00"/>
    <m/>
    <d v="2026-04-23T00:00:00"/>
    <x v="1"/>
  </r>
  <r>
    <n v="274"/>
    <x v="0"/>
    <s v="Vinay Thokle"/>
    <s v="V027VIT@cathaypacific.com"/>
    <s v="Senior Officer"/>
    <m/>
    <m/>
    <d v="2025-09-10T00:00:00"/>
    <m/>
    <d v="2026-05-11T00:00:00"/>
    <x v="1"/>
  </r>
  <r>
    <n v="275"/>
    <x v="1"/>
    <s v="Vinayak Vahindekar "/>
    <s v="v027viv@cathaypacific.com"/>
    <s v="Senior Officer"/>
    <d v="2026-02-02T00:00:00"/>
    <m/>
    <d v="2025-09-24T00:00:00"/>
    <d v="2025-11-10T00:00:00"/>
    <m/>
    <x v="2"/>
  </r>
  <r>
    <n v="276"/>
    <x v="9"/>
    <s v="Vindhya Singh"/>
    <s v="vindhya_singh@cathaypacific.com"/>
    <s v="Senior Officer"/>
    <d v="2026-02-17T00:00:00"/>
    <d v="2026-03-05T00:00:00"/>
    <d v="2025-10-10T00:00:00"/>
    <m/>
    <d v="2026-05-05T00:00:00"/>
    <x v="1"/>
  </r>
  <r>
    <n v="277"/>
    <x v="4"/>
    <s v="Vinod Patel"/>
    <s v="V027PAV@cathaypacific.com"/>
    <s v="Senior Officer"/>
    <d v="2026-02-23T00:00:00"/>
    <d v="2026-03-12T00:00:00"/>
    <d v="2025-10-01T00:00:00"/>
    <m/>
    <d v="2026-05-06T00:00:00"/>
    <x v="1"/>
  </r>
  <r>
    <n v="278"/>
    <x v="9"/>
    <s v="Violet D'Souza"/>
    <s v="violet_dsouza@cathaypacific.com"/>
    <s v="Senior Officer"/>
    <d v="2026-02-03T00:00:00"/>
    <d v="2026-03-04T00:00:00"/>
    <d v="2025-09-23T00:00:00"/>
    <d v="2025-11-04T00:00:00"/>
    <d v="2026-04-20T00:00:00"/>
    <x v="1"/>
  </r>
  <r>
    <n v="279"/>
    <x v="4"/>
    <s v="Vishal Khira"/>
    <s v="v027vik@cathaypacific.com"/>
    <s v="Loading Specialist"/>
    <d v="2026-02-09T00:00:00"/>
    <d v="2026-03-05T00:00:00"/>
    <m/>
    <m/>
    <d v="2026-05-05T00:00:00"/>
    <x v="1"/>
  </r>
  <r>
    <n v="280"/>
    <x v="6"/>
    <s v="Yasin Shaikh"/>
    <s v="V027YAS@cathaypacific.com"/>
    <s v="Senior Officer"/>
    <m/>
    <m/>
    <d v="2025-09-29T00:00:00"/>
    <m/>
    <d v="2026-04-28T00:00:00"/>
    <x v="1"/>
  </r>
  <r>
    <n v="281"/>
    <x v="12"/>
    <s v="Yogesh Desai"/>
    <s v="yogesh_desai@cathaypacific.com"/>
    <s v="Senior Officer"/>
    <d v="2026-02-18T00:00:00"/>
    <m/>
    <d v="2025-09-19T00:00:00"/>
    <d v="2025-12-03T00:00:00"/>
    <m/>
    <x v="2"/>
  </r>
  <r>
    <n v="282"/>
    <x v="12"/>
    <s v="Yogesh Gaikwad"/>
    <s v="yogesh_gaikwad@cathaypacific.com"/>
    <s v="Senior Officer"/>
    <m/>
    <d v="2026-03-04T00:00:00"/>
    <d v="2025-12-04T00:00:00"/>
    <m/>
    <m/>
    <x v="2"/>
  </r>
  <r>
    <n v="283"/>
    <x v="1"/>
    <s v="Zaheer Patel"/>
    <s v="zaheer_patel@cathaypacific.com"/>
    <s v="Ticketing Specialist"/>
    <d v="2026-02-25T00:00:00"/>
    <m/>
    <d v="2025-09-30T00:00:00"/>
    <d v="2025-11-10T00:00:00"/>
    <d v="2026-05-06T00:00:00"/>
    <x v="1"/>
  </r>
  <r>
    <n v="284"/>
    <x v="0"/>
    <s v="Zayyan Malvi"/>
    <s v="V027ZZM@cathaypacific.com"/>
    <s v="Senior Officer"/>
    <m/>
    <m/>
    <d v="2025-10-13T00:00:00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6F028-08CD-410D-8ECF-189664052A34}" name="PivotTable1" cacheId="1943" applyNumberFormats="0" applyBorderFormats="0" applyFontFormats="0" applyPatternFormats="0" applyAlignmentFormats="0" applyWidthHeightFormats="1" dataCaption="Values" missingCaption="--" updatedVersion="8" minRefreshableVersion="3" useAutoFormatting="1" colGrandTotals="0" itemPrintTitles="1" createdVersion="7" indent="0" compact="0" compactData="0" multipleFieldFilters="0">
  <location ref="B3:E21" firstHeaderRow="1" firstDataRow="2" firstDataCol="1"/>
  <pivotFields count="11">
    <pivotField compact="0" outline="0" showAll="0" defaultSubtotal="0"/>
    <pivotField axis="axisRow" compact="0" outline="0" showAll="0" defaultSubtotal="0">
      <items count="16">
        <item sd="0" x="9"/>
        <item sd="0" x="13"/>
        <item sd="0" x="14"/>
        <item sd="0" x="2"/>
        <item sd="0" x="8"/>
        <item sd="0" x="4"/>
        <item sd="0" x="15"/>
        <item sd="0" x="6"/>
        <item sd="0" x="1"/>
        <item sd="0" x="11"/>
        <item sd="0" x="5"/>
        <item sd="0" x="7"/>
        <item sd="0" x="3"/>
        <item sd="0" x="10"/>
        <item sd="0" x="0"/>
        <item sd="0" x="12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Col" compact="0" outline="0" showAll="0" defaultSubtotal="0">
      <items count="3">
        <item x="2"/>
        <item x="1"/>
        <item x="0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0"/>
  </colFields>
  <colItems count="3">
    <i>
      <x/>
    </i>
    <i>
      <x v="1"/>
    </i>
    <i>
      <x v="2"/>
    </i>
  </colItems>
  <dataFields count="1">
    <dataField name="Count of Name" fld="2" subtotal="count" baseField="0" baseItem="0"/>
  </dataFields>
  <formats count="10"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field="10" type="button" dataOnly="0" labelOnly="1" outline="0" axis="axisCol" fieldPosition="0"/>
    </format>
    <format dxfId="29">
      <pivotArea type="topRight" dataOnly="0" labelOnly="1" outline="0" fieldPosition="0"/>
    </format>
    <format dxfId="30">
      <pivotArea field="1" type="button" dataOnly="0" labelOnly="1" outline="0" axis="axisRow" fieldPosition="0"/>
    </format>
    <format dxfId="31">
      <pivotArea dataOnly="0" labelOnly="1" outline="0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3">
      <pivotArea dataOnly="0" labelOnly="1" outline="0" fieldPosition="0">
        <references count="1">
          <reference field="10" count="0"/>
        </references>
      </pivotArea>
    </format>
    <format dxfId="3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402B78-1F9E-44CF-89B5-7F4956F88AC6}" name="Table3" displayName="Table3" ref="A3:K6" totalsRowShown="0">
  <autoFilter ref="A3:K6" xr:uid="{47402B78-1F9E-44CF-89B5-7F4956F88AC6}"/>
  <tableColumns count="11">
    <tableColumn id="1" xr3:uid="{A311281E-A569-4649-A5F0-60D27C5EE708}" name="E_code"/>
    <tableColumn id="2" xr3:uid="{CCEB6AF1-27EC-4663-86B7-32E8B54A5874}" name="Dept"/>
    <tableColumn id="3" xr3:uid="{0745FB16-1774-4C18-B65D-81BE103FF228}" name="Name"/>
    <tableColumn id="4" xr3:uid="{86AC1787-3B62-49D9-9B57-32D7C8C96385}" name="Email Id"/>
    <tableColumn id="5" xr3:uid="{FB857F2A-69DA-44CD-9325-6899DE284C16}" name="Designation"/>
    <tableColumn id="6" xr3:uid="{B95016D3-93DB-4377-9C33-C6474A5FEE8C}" name="Camera Tool/Filter"/>
    <tableColumn id="7" xr3:uid="{0EB84941-0ACF-467B-9383-B154FEBDE7C8}" name="Table / Consolidate" dataDxfId="24"/>
    <tableColumn id="8" xr3:uid="{AE34887D-2448-4E68-BD87-9BE0D293C12B}" name="Thoughtfulness"/>
    <tableColumn id="9" xr3:uid="{5AB4BA4C-3A90-4889-A807-AFF97FCECDDD}" name="Can Do"/>
    <tableColumn id="10" xr3:uid="{E6DFB989-F272-4AAA-A464-C143B4308298}" name="Escape Room - 1"/>
    <tableColumn id="11" xr3:uid="{E9DB6817-B0CF-45E6-916E-7914267805DA}" name="Eligibility_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19B84-69F6-411D-835C-D582D81F2F65}" name="Table1" displayName="Table1" ref="A1:M285" totalsRowShown="0" dataDxfId="19">
  <autoFilter ref="A1:M285" xr:uid="{11E19B84-69F6-411D-835C-D582D81F2F65}"/>
  <tableColumns count="13">
    <tableColumn id="1" xr3:uid="{7B93E5A0-6187-4B11-AA72-321E19602540}" name="E_code" dataDxfId="18"/>
    <tableColumn id="2" xr3:uid="{6BED9FDD-48CF-420B-8D7C-255D2B71D10A}" name="Dept" dataDxfId="17"/>
    <tableColumn id="3" xr3:uid="{FE24C20A-6A96-4070-95C5-4F5500A81F12}" name="Name" dataDxfId="16"/>
    <tableColumn id="4" xr3:uid="{03BD4386-20B1-478A-B556-A13A8E613342}" name="Email Id" dataDxfId="15"/>
    <tableColumn id="5" xr3:uid="{E524E8B0-2A99-425E-8FC2-B0AEBE926049}" name="Designation" dataDxfId="14"/>
    <tableColumn id="6" xr3:uid="{C220B7D8-B5B9-4946-B627-FD6353624C90}" name="Camera Tool/Filter" dataDxfId="13"/>
    <tableColumn id="7" xr3:uid="{27BADE53-DD24-4F7D-AB0D-8D95A7BE39A1}" name="Table / Consolidate" dataDxfId="12"/>
    <tableColumn id="8" xr3:uid="{C42AB01A-CCF8-43EC-8AB3-43FF42AC6CED}" name="Thoughtfulness" dataDxfId="11"/>
    <tableColumn id="9" xr3:uid="{7A8E9ED6-90AB-44C4-89EA-BE5D8EF49A7F}" name="Can Do" dataDxfId="10"/>
    <tableColumn id="10" xr3:uid="{558EBEC9-8006-4C6B-BECA-40304C0E4939}" name="Escape Room - 1" dataDxfId="9"/>
    <tableColumn id="11" xr3:uid="{C1CACC0C-6120-4264-8525-2A7148030B35}" name="Eligibility_Result" dataDxfId="8">
      <calculatedColumnFormula>IF(COUNT(F2,G2,H2,I2,J2)=0,"No Training Done",IF(TODAY()&lt; MAX(F2,G2,H2,I2,J2)+60,"Not Eligible","Eligible"))</calculatedColumnFormula>
    </tableColumn>
    <tableColumn id="12" xr3:uid="{A9B87211-9C99-456F-8CFD-39D1656FDB37}" name="Days_Cross" dataDxfId="7">
      <calculatedColumnFormula>IF(COUNT(F2:J2)=0,0,TODAY()-MAX(F2:J2))</calculatedColumnFormula>
    </tableColumn>
    <tableColumn id="13" xr3:uid="{2B90B95B-C1F8-4428-9DC7-3149F32F0DFA}" name="Mail_Sent" dataDxfId="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425B9-0CED-407C-ABFB-190CA9A7ED56}" name="Table2" displayName="Table2" ref="A1:C2" totalsRowShown="0" headerRowDxfId="5" headerRowBorderDxfId="3" tableBorderDxfId="4">
  <autoFilter ref="A1:C2" xr:uid="{995E221F-9865-484D-92CD-15C1521E9F2F}"/>
  <tableColumns count="3">
    <tableColumn id="1" xr3:uid="{E0737BA5-2233-4F62-8454-402070774656}" name="Dept" dataDxfId="2"/>
    <tableColumn id="3" xr3:uid="{27EDF0B2-4589-4EEC-AF4C-9DF03FDA3BB7}" name="Supervisor_Email" dataDxfId="1" dataCellStyle="Hyperlink"/>
    <tableColumn id="2" xr3:uid="{A9882513-10C5-4E47-A824-71388B44CE7F}" name="Assistant_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027DIG@cathaypacific.com" TargetMode="External"/><Relationship Id="rId2" Type="http://schemas.openxmlformats.org/officeDocument/2006/relationships/hyperlink" Target="mailto:V027KAN@cathaypacific.com" TargetMode="External"/><Relationship Id="rId1" Type="http://schemas.openxmlformats.org/officeDocument/2006/relationships/hyperlink" Target="mailto:v027mfd@cathaypacific.com" TargetMode="External"/><Relationship Id="rId6" Type="http://schemas.microsoft.com/office/2019/04/relationships/namedSheetView" Target="../namedSheetViews/namedSheetView1.xm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v027rag@cathaypacif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2F57-A19F-4DEE-AE38-630C399FDF07}">
  <dimension ref="A1:K6"/>
  <sheetViews>
    <sheetView workbookViewId="0"/>
  </sheetViews>
  <sheetFormatPr defaultRowHeight="15"/>
  <cols>
    <col min="1" max="1" width="9.85546875" bestFit="1" customWidth="1"/>
    <col min="3" max="3" width="15.5703125" bestFit="1" customWidth="1"/>
    <col min="4" max="4" width="33.7109375" bestFit="1" customWidth="1"/>
    <col min="5" max="5" width="14" bestFit="1" customWidth="1"/>
    <col min="6" max="6" width="20.42578125" bestFit="1" customWidth="1"/>
    <col min="7" max="7" width="21" bestFit="1" customWidth="1"/>
    <col min="8" max="8" width="17.28515625" bestFit="1" customWidth="1"/>
    <col min="9" max="9" width="11.42578125" bestFit="1" customWidth="1"/>
    <col min="10" max="10" width="18.140625" bestFit="1" customWidth="1"/>
    <col min="11" max="11" width="18.28515625" bestFit="1" customWidth="1"/>
  </cols>
  <sheetData>
    <row r="1" spans="1:11">
      <c r="A1" s="35" t="s">
        <v>0</v>
      </c>
    </row>
    <row r="3" spans="1:1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>
      <c r="A4">
        <v>256</v>
      </c>
      <c r="B4" t="s">
        <v>12</v>
      </c>
      <c r="C4" t="s">
        <v>13</v>
      </c>
      <c r="D4" t="s">
        <v>14</v>
      </c>
      <c r="E4" t="s">
        <v>15</v>
      </c>
      <c r="F4" s="1">
        <v>46049</v>
      </c>
      <c r="G4" s="1">
        <v>46092</v>
      </c>
      <c r="H4" s="1">
        <v>45923</v>
      </c>
      <c r="I4" s="1">
        <v>46006</v>
      </c>
      <c r="K4" t="s">
        <v>16</v>
      </c>
    </row>
    <row r="5" spans="1:11">
      <c r="A5">
        <v>176</v>
      </c>
      <c r="B5" t="s">
        <v>12</v>
      </c>
      <c r="C5" t="s">
        <v>17</v>
      </c>
      <c r="D5" t="s">
        <v>18</v>
      </c>
      <c r="E5" t="s">
        <v>19</v>
      </c>
      <c r="F5" s="1">
        <v>46077</v>
      </c>
      <c r="G5" s="1">
        <v>46086</v>
      </c>
      <c r="K5" t="s">
        <v>16</v>
      </c>
    </row>
    <row r="6" spans="1:11">
      <c r="A6">
        <v>21</v>
      </c>
      <c r="B6" t="s">
        <v>12</v>
      </c>
      <c r="C6" t="s">
        <v>20</v>
      </c>
      <c r="D6" t="s">
        <v>21</v>
      </c>
      <c r="E6" t="s">
        <v>19</v>
      </c>
      <c r="G6" s="1">
        <v>46085</v>
      </c>
      <c r="H6" s="1">
        <v>45995</v>
      </c>
      <c r="K6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D20B-01CF-42E7-BE11-3CF9ABEBA33A}">
  <dimension ref="B3:K22"/>
  <sheetViews>
    <sheetView showGridLines="0" zoomScaleNormal="100" workbookViewId="0">
      <selection activeCell="C9" sqref="C9"/>
    </sheetView>
  </sheetViews>
  <sheetFormatPr defaultRowHeight="14.45"/>
  <cols>
    <col min="1" max="1" width="11.140625" bestFit="1" customWidth="1"/>
    <col min="2" max="2" width="14.7109375" style="2" bestFit="1" customWidth="1"/>
    <col min="3" max="3" width="22" style="2" bestFit="1" customWidth="1"/>
    <col min="4" max="4" width="11.28515625" style="2" bestFit="1" customWidth="1"/>
    <col min="5" max="5" width="16.85546875" style="2" bestFit="1" customWidth="1"/>
    <col min="6" max="6" width="6.140625" style="2" bestFit="1" customWidth="1"/>
    <col min="7" max="7" width="11.140625" bestFit="1" customWidth="1"/>
    <col min="8" max="8" width="12" bestFit="1" customWidth="1"/>
    <col min="9" max="9" width="13.140625" bestFit="1" customWidth="1"/>
    <col min="10" max="10" width="13.5703125" bestFit="1" customWidth="1"/>
    <col min="11" max="11" width="9.42578125" bestFit="1" customWidth="1"/>
    <col min="12" max="12" width="20.28515625" bestFit="1" customWidth="1"/>
    <col min="13" max="13" width="13.85546875" bestFit="1" customWidth="1"/>
    <col min="14" max="14" width="12.5703125" bestFit="1" customWidth="1"/>
    <col min="15" max="15" width="13.85546875" bestFit="1" customWidth="1"/>
    <col min="16" max="16" width="12.28515625" bestFit="1" customWidth="1"/>
    <col min="17" max="17" width="13.42578125" bestFit="1" customWidth="1"/>
    <col min="18" max="18" width="9.85546875" bestFit="1" customWidth="1"/>
    <col min="19" max="19" width="11.5703125" bestFit="1" customWidth="1"/>
    <col min="20" max="20" width="11.42578125" bestFit="1" customWidth="1"/>
    <col min="21" max="21" width="11.85546875" bestFit="1" customWidth="1"/>
    <col min="22" max="22" width="9.5703125" bestFit="1" customWidth="1"/>
    <col min="23" max="23" width="12.7109375" bestFit="1" customWidth="1"/>
    <col min="24" max="24" width="12.28515625" bestFit="1" customWidth="1"/>
    <col min="25" max="25" width="9.42578125" bestFit="1" customWidth="1"/>
    <col min="26" max="26" width="12.7109375" bestFit="1" customWidth="1"/>
    <col min="27" max="27" width="14.42578125" bestFit="1" customWidth="1"/>
    <col min="28" max="28" width="11.85546875" bestFit="1" customWidth="1"/>
    <col min="29" max="29" width="14.7109375" bestFit="1" customWidth="1"/>
    <col min="30" max="30" width="11.85546875" bestFit="1" customWidth="1"/>
    <col min="31" max="31" width="11.5703125" bestFit="1" customWidth="1"/>
    <col min="32" max="32" width="10" bestFit="1" customWidth="1"/>
    <col min="33" max="33" width="11.42578125" bestFit="1" customWidth="1"/>
    <col min="34" max="34" width="12.42578125" bestFit="1" customWidth="1"/>
    <col min="35" max="35" width="13" bestFit="1" customWidth="1"/>
    <col min="36" max="36" width="13.85546875" bestFit="1" customWidth="1"/>
    <col min="37" max="37" width="14.140625" bestFit="1" customWidth="1"/>
    <col min="38" max="38" width="19.140625" bestFit="1" customWidth="1"/>
    <col min="39" max="39" width="16.85546875" bestFit="1" customWidth="1"/>
    <col min="40" max="40" width="17.7109375" bestFit="1" customWidth="1"/>
    <col min="41" max="41" width="18.85546875" bestFit="1" customWidth="1"/>
    <col min="42" max="42" width="14.140625" bestFit="1" customWidth="1"/>
    <col min="43" max="43" width="12.42578125" bestFit="1" customWidth="1"/>
    <col min="44" max="44" width="14" bestFit="1" customWidth="1"/>
    <col min="45" max="45" width="16.5703125" bestFit="1" customWidth="1"/>
    <col min="46" max="46" width="11.5703125" bestFit="1" customWidth="1"/>
    <col min="47" max="47" width="18" bestFit="1" customWidth="1"/>
    <col min="48" max="48" width="25.42578125" bestFit="1" customWidth="1"/>
    <col min="49" max="49" width="13.85546875" bestFit="1" customWidth="1"/>
    <col min="50" max="50" width="14.42578125" bestFit="1" customWidth="1"/>
    <col min="51" max="51" width="13.42578125" bestFit="1" customWidth="1"/>
    <col min="52" max="52" width="12.42578125" bestFit="1" customWidth="1"/>
    <col min="53" max="53" width="15.28515625" bestFit="1" customWidth="1"/>
    <col min="54" max="54" width="13" bestFit="1" customWidth="1"/>
    <col min="55" max="55" width="18.140625" bestFit="1" customWidth="1"/>
    <col min="56" max="56" width="16.140625" bestFit="1" customWidth="1"/>
    <col min="57" max="57" width="13.42578125" bestFit="1" customWidth="1"/>
    <col min="58" max="58" width="18.42578125" bestFit="1" customWidth="1"/>
    <col min="59" max="59" width="15.5703125" bestFit="1" customWidth="1"/>
    <col min="60" max="60" width="13.42578125" bestFit="1" customWidth="1"/>
    <col min="61" max="61" width="14.5703125" bestFit="1" customWidth="1"/>
    <col min="62" max="62" width="13.42578125" bestFit="1" customWidth="1"/>
    <col min="63" max="63" width="19.140625" bestFit="1" customWidth="1"/>
    <col min="64" max="64" width="15.5703125" bestFit="1" customWidth="1"/>
    <col min="65" max="65" width="16.5703125" bestFit="1" customWidth="1"/>
    <col min="66" max="66" width="12.85546875" bestFit="1" customWidth="1"/>
    <col min="67" max="67" width="23.42578125" bestFit="1" customWidth="1"/>
    <col min="68" max="68" width="11.140625" bestFit="1" customWidth="1"/>
    <col min="69" max="69" width="14.42578125" bestFit="1" customWidth="1"/>
    <col min="70" max="70" width="15" bestFit="1" customWidth="1"/>
    <col min="71" max="71" width="14.140625" bestFit="1" customWidth="1"/>
    <col min="72" max="72" width="12.42578125" bestFit="1" customWidth="1"/>
    <col min="73" max="73" width="10.140625" bestFit="1" customWidth="1"/>
    <col min="74" max="74" width="13.140625" bestFit="1" customWidth="1"/>
    <col min="75" max="75" width="14.85546875" bestFit="1" customWidth="1"/>
    <col min="76" max="76" width="15.28515625" bestFit="1" customWidth="1"/>
    <col min="77" max="77" width="11.42578125" bestFit="1" customWidth="1"/>
    <col min="78" max="78" width="15.140625" bestFit="1" customWidth="1"/>
    <col min="79" max="79" width="12.5703125" bestFit="1" customWidth="1"/>
    <col min="80" max="80" width="16.42578125" bestFit="1" customWidth="1"/>
    <col min="81" max="81" width="9.7109375" bestFit="1" customWidth="1"/>
    <col min="82" max="82" width="13.85546875" bestFit="1" customWidth="1"/>
    <col min="83" max="83" width="14.85546875" bestFit="1" customWidth="1"/>
    <col min="84" max="84" width="16" bestFit="1" customWidth="1"/>
    <col min="85" max="85" width="15.140625" bestFit="1" customWidth="1"/>
    <col min="86" max="86" width="15.28515625" bestFit="1" customWidth="1"/>
    <col min="87" max="87" width="17.85546875" bestFit="1" customWidth="1"/>
    <col min="88" max="88" width="16.42578125" bestFit="1" customWidth="1"/>
    <col min="89" max="89" width="11.42578125" bestFit="1" customWidth="1"/>
    <col min="90" max="90" width="16.85546875" bestFit="1" customWidth="1"/>
    <col min="91" max="91" width="13.140625" bestFit="1" customWidth="1"/>
    <col min="92" max="92" width="10.5703125" bestFit="1" customWidth="1"/>
    <col min="93" max="93" width="18.5703125" bestFit="1" customWidth="1"/>
    <col min="94" max="94" width="15.140625" bestFit="1" customWidth="1"/>
    <col min="95" max="95" width="14.85546875" bestFit="1" customWidth="1"/>
    <col min="96" max="96" width="14.42578125" bestFit="1" customWidth="1"/>
    <col min="97" max="97" width="16" bestFit="1" customWidth="1"/>
    <col min="98" max="98" width="13.28515625" bestFit="1" customWidth="1"/>
    <col min="99" max="99" width="13.140625" bestFit="1" customWidth="1"/>
    <col min="100" max="100" width="10.5703125" bestFit="1" customWidth="1"/>
    <col min="101" max="101" width="15.7109375" bestFit="1" customWidth="1"/>
    <col min="102" max="102" width="15.85546875" bestFit="1" customWidth="1"/>
    <col min="103" max="103" width="14" bestFit="1" customWidth="1"/>
    <col min="104" max="104" width="15" bestFit="1" customWidth="1"/>
    <col min="105" max="105" width="13.5703125" bestFit="1" customWidth="1"/>
    <col min="106" max="106" width="12.85546875" bestFit="1" customWidth="1"/>
    <col min="107" max="107" width="16.5703125" bestFit="1" customWidth="1"/>
    <col min="108" max="108" width="10.85546875" bestFit="1" customWidth="1"/>
    <col min="109" max="109" width="12" bestFit="1" customWidth="1"/>
    <col min="110" max="110" width="11.7109375" bestFit="1" customWidth="1"/>
    <col min="111" max="111" width="13.28515625" bestFit="1" customWidth="1"/>
    <col min="112" max="112" width="9.5703125" bestFit="1" customWidth="1"/>
    <col min="113" max="113" width="13.42578125" bestFit="1" customWidth="1"/>
    <col min="114" max="114" width="8.85546875" bestFit="1" customWidth="1"/>
    <col min="115" max="115" width="13.5703125" bestFit="1" customWidth="1"/>
    <col min="116" max="116" width="17.140625" bestFit="1" customWidth="1"/>
    <col min="117" max="117" width="14.140625" bestFit="1" customWidth="1"/>
    <col min="118" max="118" width="10.42578125" bestFit="1" customWidth="1"/>
    <col min="119" max="119" width="11.42578125" bestFit="1" customWidth="1"/>
    <col min="120" max="120" width="14.7109375" bestFit="1" customWidth="1"/>
    <col min="121" max="121" width="10" bestFit="1" customWidth="1"/>
    <col min="122" max="122" width="9.85546875" bestFit="1" customWidth="1"/>
    <col min="123" max="123" width="14" bestFit="1" customWidth="1"/>
    <col min="124" max="124" width="13.28515625" bestFit="1" customWidth="1"/>
    <col min="125" max="125" width="14" bestFit="1" customWidth="1"/>
    <col min="126" max="126" width="16.28515625" bestFit="1" customWidth="1"/>
    <col min="127" max="127" width="14.42578125" bestFit="1" customWidth="1"/>
    <col min="128" max="128" width="14.85546875" bestFit="1" customWidth="1"/>
    <col min="129" max="129" width="15.140625" bestFit="1" customWidth="1"/>
    <col min="130" max="130" width="12.28515625" bestFit="1" customWidth="1"/>
    <col min="131" max="131" width="10.85546875" bestFit="1" customWidth="1"/>
    <col min="132" max="132" width="14.28515625" bestFit="1" customWidth="1"/>
    <col min="133" max="133" width="16.42578125" bestFit="1" customWidth="1"/>
    <col min="134" max="134" width="14.5703125" bestFit="1" customWidth="1"/>
    <col min="135" max="135" width="18.85546875" bestFit="1" customWidth="1"/>
    <col min="136" max="136" width="15" bestFit="1" customWidth="1"/>
    <col min="137" max="137" width="14.7109375" bestFit="1" customWidth="1"/>
    <col min="138" max="138" width="17.140625" bestFit="1" customWidth="1"/>
    <col min="139" max="139" width="11.7109375" bestFit="1" customWidth="1"/>
    <col min="140" max="140" width="13.42578125" bestFit="1" customWidth="1"/>
    <col min="141" max="141" width="15.7109375" bestFit="1" customWidth="1"/>
    <col min="142" max="142" width="14.7109375" bestFit="1" customWidth="1"/>
    <col min="143" max="143" width="14.85546875" bestFit="1" customWidth="1"/>
    <col min="144" max="144" width="13.42578125" bestFit="1" customWidth="1"/>
    <col min="145" max="145" width="11.140625" bestFit="1" customWidth="1"/>
    <col min="146" max="146" width="21.42578125" bestFit="1" customWidth="1"/>
    <col min="147" max="147" width="25.5703125" bestFit="1" customWidth="1"/>
    <col min="148" max="148" width="12" bestFit="1" customWidth="1"/>
    <col min="149" max="149" width="16.85546875" bestFit="1" customWidth="1"/>
    <col min="150" max="150" width="16.42578125" bestFit="1" customWidth="1"/>
    <col min="151" max="151" width="10.7109375" bestFit="1" customWidth="1"/>
    <col min="152" max="152" width="12.85546875" bestFit="1" customWidth="1"/>
    <col min="153" max="153" width="16.85546875" bestFit="1" customWidth="1"/>
    <col min="154" max="154" width="20.5703125" bestFit="1" customWidth="1"/>
    <col min="155" max="155" width="21.140625" bestFit="1" customWidth="1"/>
    <col min="156" max="156" width="16.7109375" bestFit="1" customWidth="1"/>
    <col min="157" max="157" width="16.5703125" bestFit="1" customWidth="1"/>
    <col min="158" max="158" width="10.7109375" bestFit="1" customWidth="1"/>
    <col min="159" max="159" width="19.140625" bestFit="1" customWidth="1"/>
    <col min="160" max="160" width="15" bestFit="1" customWidth="1"/>
    <col min="161" max="161" width="16.5703125" bestFit="1" customWidth="1"/>
    <col min="162" max="162" width="13.140625" bestFit="1" customWidth="1"/>
    <col min="163" max="163" width="15.140625" bestFit="1" customWidth="1"/>
    <col min="164" max="164" width="18.140625" bestFit="1" customWidth="1"/>
    <col min="165" max="165" width="14.42578125" bestFit="1" customWidth="1"/>
    <col min="166" max="166" width="12.85546875" bestFit="1" customWidth="1"/>
    <col min="167" max="167" width="13.42578125" bestFit="1" customWidth="1"/>
    <col min="168" max="168" width="13.5703125" bestFit="1" customWidth="1"/>
    <col min="169" max="169" width="10.140625" bestFit="1" customWidth="1"/>
    <col min="170" max="170" width="13.85546875" bestFit="1" customWidth="1"/>
    <col min="171" max="171" width="13.28515625" bestFit="1" customWidth="1"/>
    <col min="172" max="172" width="13.140625" bestFit="1" customWidth="1"/>
    <col min="173" max="173" width="13.85546875" bestFit="1" customWidth="1"/>
    <col min="174" max="174" width="11.85546875" bestFit="1" customWidth="1"/>
    <col min="175" max="175" width="12.85546875" bestFit="1" customWidth="1"/>
    <col min="176" max="176" width="15.28515625" bestFit="1" customWidth="1"/>
    <col min="177" max="177" width="10.140625" bestFit="1" customWidth="1"/>
    <col min="178" max="178" width="15" bestFit="1" customWidth="1"/>
    <col min="179" max="179" width="17.42578125" bestFit="1" customWidth="1"/>
    <col min="180" max="180" width="14.140625" bestFit="1" customWidth="1"/>
    <col min="181" max="182" width="13" bestFit="1" customWidth="1"/>
    <col min="183" max="183" width="12.140625" bestFit="1" customWidth="1"/>
    <col min="184" max="184" width="15.140625" bestFit="1" customWidth="1"/>
    <col min="185" max="185" width="18.140625" bestFit="1" customWidth="1"/>
    <col min="186" max="186" width="15.5703125" bestFit="1" customWidth="1"/>
    <col min="187" max="187" width="18.85546875" bestFit="1" customWidth="1"/>
    <col min="188" max="188" width="17.7109375" bestFit="1" customWidth="1"/>
    <col min="189" max="189" width="12.42578125" bestFit="1" customWidth="1"/>
    <col min="190" max="190" width="13.28515625" bestFit="1" customWidth="1"/>
    <col min="191" max="191" width="12.85546875" bestFit="1" customWidth="1"/>
    <col min="192" max="192" width="10.42578125" bestFit="1" customWidth="1"/>
    <col min="193" max="193" width="11.7109375" bestFit="1" customWidth="1"/>
    <col min="194" max="194" width="13.42578125" bestFit="1" customWidth="1"/>
    <col min="195" max="195" width="14" bestFit="1" customWidth="1"/>
    <col min="196" max="196" width="15.140625" bestFit="1" customWidth="1"/>
    <col min="197" max="197" width="10.85546875" bestFit="1" customWidth="1"/>
    <col min="198" max="198" width="13.42578125" bestFit="1" customWidth="1"/>
    <col min="199" max="199" width="15.140625" bestFit="1" customWidth="1"/>
    <col min="200" max="200" width="14" bestFit="1" customWidth="1"/>
    <col min="201" max="201" width="14.5703125" bestFit="1" customWidth="1"/>
    <col min="202" max="202" width="11.7109375" bestFit="1" customWidth="1"/>
    <col min="203" max="203" width="8.140625" bestFit="1" customWidth="1"/>
    <col min="204" max="204" width="16.5703125" bestFit="1" customWidth="1"/>
    <col min="205" max="205" width="14.5703125" bestFit="1" customWidth="1"/>
    <col min="206" max="206" width="12" bestFit="1" customWidth="1"/>
    <col min="207" max="207" width="12.5703125" bestFit="1" customWidth="1"/>
    <col min="208" max="208" width="11.5703125" bestFit="1" customWidth="1"/>
    <col min="209" max="209" width="10.28515625" bestFit="1" customWidth="1"/>
    <col min="210" max="210" width="15.5703125" bestFit="1" customWidth="1"/>
    <col min="211" max="211" width="20" bestFit="1" customWidth="1"/>
    <col min="212" max="212" width="13.42578125" bestFit="1" customWidth="1"/>
    <col min="213" max="213" width="12.85546875" bestFit="1" customWidth="1"/>
    <col min="214" max="214" width="14.5703125" bestFit="1" customWidth="1"/>
    <col min="215" max="215" width="12.42578125" bestFit="1" customWidth="1"/>
    <col min="216" max="216" width="13.28515625" bestFit="1" customWidth="1"/>
    <col min="217" max="217" width="16.7109375" bestFit="1" customWidth="1"/>
    <col min="218" max="218" width="14.42578125" bestFit="1" customWidth="1"/>
    <col min="219" max="219" width="11.85546875" bestFit="1" customWidth="1"/>
    <col min="220" max="220" width="13.28515625" bestFit="1" customWidth="1"/>
    <col min="221" max="221" width="13.85546875" bestFit="1" customWidth="1"/>
    <col min="222" max="222" width="12.140625" bestFit="1" customWidth="1"/>
    <col min="223" max="223" width="14.42578125" bestFit="1" customWidth="1"/>
    <col min="224" max="224" width="12.7109375" bestFit="1" customWidth="1"/>
    <col min="225" max="225" width="12" bestFit="1" customWidth="1"/>
    <col min="226" max="226" width="14.42578125" bestFit="1" customWidth="1"/>
    <col min="227" max="227" width="11.42578125" bestFit="1" customWidth="1"/>
    <col min="228" max="228" width="14.5703125" bestFit="1" customWidth="1"/>
    <col min="229" max="229" width="10.7109375" bestFit="1" customWidth="1"/>
    <col min="230" max="230" width="12.85546875" bestFit="1" customWidth="1"/>
    <col min="231" max="231" width="13.5703125" bestFit="1" customWidth="1"/>
    <col min="232" max="232" width="18.42578125" bestFit="1" customWidth="1"/>
    <col min="233" max="233" width="11.5703125" bestFit="1" customWidth="1"/>
    <col min="234" max="234" width="13.42578125" bestFit="1" customWidth="1"/>
    <col min="235" max="235" width="11.140625" bestFit="1" customWidth="1"/>
    <col min="236" max="236" width="12.140625" bestFit="1" customWidth="1"/>
    <col min="237" max="237" width="14.7109375" bestFit="1" customWidth="1"/>
    <col min="238" max="238" width="13.85546875" bestFit="1" customWidth="1"/>
    <col min="239" max="239" width="17.140625" bestFit="1" customWidth="1"/>
    <col min="240" max="240" width="14.85546875" bestFit="1" customWidth="1"/>
    <col min="241" max="241" width="13.42578125" bestFit="1" customWidth="1"/>
    <col min="242" max="242" width="14.85546875" bestFit="1" customWidth="1"/>
    <col min="243" max="243" width="12.42578125" bestFit="1" customWidth="1"/>
    <col min="244" max="244" width="11.7109375" bestFit="1" customWidth="1"/>
    <col min="245" max="245" width="14.28515625" bestFit="1" customWidth="1"/>
    <col min="246" max="246" width="15" bestFit="1" customWidth="1"/>
    <col min="247" max="247" width="13.85546875" bestFit="1" customWidth="1"/>
    <col min="248" max="248" width="13" bestFit="1" customWidth="1"/>
    <col min="249" max="249" width="12" bestFit="1" customWidth="1"/>
    <col min="250" max="250" width="13.42578125" bestFit="1" customWidth="1"/>
    <col min="251" max="251" width="16.42578125" bestFit="1" customWidth="1"/>
    <col min="252" max="252" width="13.5703125" bestFit="1" customWidth="1"/>
    <col min="253" max="253" width="15.28515625" bestFit="1" customWidth="1"/>
    <col min="254" max="254" width="13.85546875" bestFit="1" customWidth="1"/>
    <col min="255" max="255" width="14.28515625" bestFit="1" customWidth="1"/>
    <col min="256" max="256" width="15.5703125" bestFit="1" customWidth="1"/>
    <col min="257" max="257" width="13.85546875" bestFit="1" customWidth="1"/>
    <col min="258" max="258" width="16.28515625" bestFit="1" customWidth="1"/>
    <col min="259" max="259" width="18.5703125" bestFit="1" customWidth="1"/>
    <col min="260" max="260" width="15" bestFit="1" customWidth="1"/>
    <col min="261" max="262" width="15.140625" bestFit="1" customWidth="1"/>
    <col min="263" max="263" width="18.85546875" bestFit="1" customWidth="1"/>
    <col min="264" max="264" width="16.28515625" bestFit="1" customWidth="1"/>
    <col min="265" max="265" width="14.140625" bestFit="1" customWidth="1"/>
    <col min="266" max="266" width="16.5703125" bestFit="1" customWidth="1"/>
    <col min="267" max="267" width="11" bestFit="1" customWidth="1"/>
    <col min="268" max="268" width="14.85546875" bestFit="1" customWidth="1"/>
    <col min="269" max="269" width="18.28515625" bestFit="1" customWidth="1"/>
    <col min="270" max="270" width="14.85546875" bestFit="1" customWidth="1"/>
    <col min="271" max="271" width="12.5703125" bestFit="1" customWidth="1"/>
    <col min="272" max="272" width="12" bestFit="1" customWidth="1"/>
    <col min="273" max="273" width="18" bestFit="1" customWidth="1"/>
    <col min="274" max="274" width="12.5703125" bestFit="1" customWidth="1"/>
    <col min="275" max="275" width="10.5703125" bestFit="1" customWidth="1"/>
    <col min="276" max="276" width="16.140625" bestFit="1" customWidth="1"/>
    <col min="277" max="277" width="10.7109375" bestFit="1" customWidth="1"/>
    <col min="278" max="278" width="14.5703125" bestFit="1" customWidth="1"/>
    <col min="279" max="279" width="12.85546875" bestFit="1" customWidth="1"/>
    <col min="280" max="280" width="12.42578125" bestFit="1" customWidth="1"/>
    <col min="281" max="281" width="11.85546875" bestFit="1" customWidth="1"/>
    <col min="282" max="282" width="11.42578125" bestFit="1" customWidth="1"/>
    <col min="283" max="283" width="14" bestFit="1" customWidth="1"/>
    <col min="284" max="284" width="15.140625" bestFit="1" customWidth="1"/>
    <col min="285" max="285" width="14.28515625" bestFit="1" customWidth="1"/>
    <col min="286" max="286" width="15.7109375" bestFit="1" customWidth="1"/>
    <col min="287" max="287" width="14" bestFit="1" customWidth="1"/>
    <col min="288" max="288" width="11.140625" bestFit="1" customWidth="1"/>
    <col min="289" max="289" width="15.5703125" bestFit="1" customWidth="1"/>
    <col min="290" max="290" width="20.42578125" bestFit="1" customWidth="1"/>
    <col min="291" max="291" width="13.42578125" bestFit="1" customWidth="1"/>
    <col min="292" max="292" width="14" bestFit="1" customWidth="1"/>
    <col min="293" max="293" width="12.7109375" bestFit="1" customWidth="1"/>
    <col min="294" max="294" width="11.85546875" bestFit="1" customWidth="1"/>
    <col min="295" max="295" width="19.7109375" bestFit="1" customWidth="1"/>
    <col min="296" max="296" width="13" bestFit="1" customWidth="1"/>
    <col min="297" max="297" width="14.140625" bestFit="1" customWidth="1"/>
    <col min="298" max="298" width="16.42578125" bestFit="1" customWidth="1"/>
    <col min="299" max="299" width="14.85546875" bestFit="1" customWidth="1"/>
    <col min="300" max="300" width="13.42578125" bestFit="1" customWidth="1"/>
    <col min="301" max="301" width="14.140625" bestFit="1" customWidth="1"/>
    <col min="302" max="302" width="19.140625" bestFit="1" customWidth="1"/>
    <col min="303" max="303" width="12.140625" bestFit="1" customWidth="1"/>
    <col min="304" max="304" width="12.42578125" bestFit="1" customWidth="1"/>
    <col min="305" max="305" width="12" bestFit="1" customWidth="1"/>
    <col min="306" max="306" width="18.85546875" bestFit="1" customWidth="1"/>
    <col min="307" max="307" width="13.140625" bestFit="1" customWidth="1"/>
    <col min="308" max="308" width="12.5703125" bestFit="1" customWidth="1"/>
    <col min="309" max="309" width="10.85546875" bestFit="1" customWidth="1"/>
    <col min="310" max="310" width="13.42578125" bestFit="1" customWidth="1"/>
    <col min="311" max="311" width="11.140625" bestFit="1" customWidth="1"/>
    <col min="312" max="312" width="20.7109375" bestFit="1" customWidth="1"/>
    <col min="313" max="313" width="11.5703125" bestFit="1" customWidth="1"/>
    <col min="314" max="314" width="12.140625" bestFit="1" customWidth="1"/>
    <col min="315" max="315" width="15.140625" bestFit="1" customWidth="1"/>
    <col min="316" max="316" width="11.7109375" bestFit="1" customWidth="1"/>
    <col min="317" max="317" width="11.5703125" bestFit="1" customWidth="1"/>
    <col min="318" max="318" width="12.140625" bestFit="1" customWidth="1"/>
    <col min="319" max="319" width="12.5703125" bestFit="1" customWidth="1"/>
    <col min="320" max="320" width="11.85546875" bestFit="1" customWidth="1"/>
    <col min="321" max="321" width="12.42578125" bestFit="1" customWidth="1"/>
    <col min="322" max="322" width="15.7109375" bestFit="1" customWidth="1"/>
    <col min="323" max="323" width="11.140625" bestFit="1" customWidth="1"/>
  </cols>
  <sheetData>
    <row r="3" spans="2:11">
      <c r="B3" s="4" t="s">
        <v>22</v>
      </c>
      <c r="C3" s="4" t="s">
        <v>11</v>
      </c>
      <c r="F3"/>
    </row>
    <row r="4" spans="2:11">
      <c r="B4" s="4" t="s">
        <v>2</v>
      </c>
      <c r="C4" s="2" t="s">
        <v>16</v>
      </c>
      <c r="D4" s="2" t="s">
        <v>23</v>
      </c>
      <c r="E4" s="2" t="s">
        <v>24</v>
      </c>
      <c r="F4"/>
    </row>
    <row r="5" spans="2:11">
      <c r="B5" s="2" t="s">
        <v>25</v>
      </c>
      <c r="C5" s="2" t="s">
        <v>26</v>
      </c>
      <c r="D5" s="2">
        <v>6</v>
      </c>
      <c r="E5" s="2" t="s">
        <v>26</v>
      </c>
      <c r="F5"/>
    </row>
    <row r="6" spans="2:11">
      <c r="B6" s="2" t="s">
        <v>27</v>
      </c>
      <c r="C6" s="2" t="s">
        <v>26</v>
      </c>
      <c r="D6" s="2" t="s">
        <v>26</v>
      </c>
      <c r="E6" s="2">
        <v>1</v>
      </c>
      <c r="F6"/>
    </row>
    <row r="7" spans="2:11">
      <c r="B7" s="2" t="s">
        <v>28</v>
      </c>
      <c r="C7" s="2" t="s">
        <v>26</v>
      </c>
      <c r="D7" s="2">
        <v>4</v>
      </c>
      <c r="E7" s="2" t="s">
        <v>26</v>
      </c>
      <c r="F7"/>
    </row>
    <row r="8" spans="2:11">
      <c r="B8" s="2" t="s">
        <v>29</v>
      </c>
      <c r="C8" s="2">
        <v>1</v>
      </c>
      <c r="D8" s="2">
        <v>13</v>
      </c>
      <c r="E8" s="2" t="s">
        <v>26</v>
      </c>
      <c r="F8"/>
    </row>
    <row r="9" spans="2:11">
      <c r="B9" s="2" t="s">
        <v>12</v>
      </c>
      <c r="C9" s="2">
        <v>3</v>
      </c>
      <c r="D9" s="2">
        <v>5</v>
      </c>
      <c r="E9" s="2">
        <v>1</v>
      </c>
      <c r="F9"/>
    </row>
    <row r="10" spans="2:11">
      <c r="B10" s="2" t="s">
        <v>30</v>
      </c>
      <c r="C10" s="2">
        <v>17</v>
      </c>
      <c r="D10" s="2">
        <v>44</v>
      </c>
      <c r="E10" s="2" t="s">
        <v>26</v>
      </c>
      <c r="F10"/>
    </row>
    <row r="11" spans="2:11">
      <c r="B11" s="2" t="s">
        <v>31</v>
      </c>
      <c r="C11" s="2">
        <v>1</v>
      </c>
      <c r="D11" s="2">
        <v>3</v>
      </c>
      <c r="E11" s="2" t="s">
        <v>26</v>
      </c>
      <c r="F11"/>
    </row>
    <row r="12" spans="2:11">
      <c r="B12" s="2" t="s">
        <v>32</v>
      </c>
      <c r="C12" s="2">
        <v>10</v>
      </c>
      <c r="D12" s="2">
        <v>13</v>
      </c>
      <c r="E12" s="2">
        <v>3</v>
      </c>
      <c r="F12"/>
    </row>
    <row r="13" spans="2:11">
      <c r="B13" s="2" t="s">
        <v>33</v>
      </c>
      <c r="C13" s="2">
        <v>11</v>
      </c>
      <c r="D13" s="2">
        <v>17</v>
      </c>
      <c r="E13" s="2" t="s">
        <v>26</v>
      </c>
      <c r="F13"/>
    </row>
    <row r="14" spans="2:11">
      <c r="B14" s="2" t="s">
        <v>34</v>
      </c>
      <c r="C14" s="2" t="s">
        <v>26</v>
      </c>
      <c r="D14" s="2" t="s">
        <v>26</v>
      </c>
      <c r="E14" s="2">
        <v>2</v>
      </c>
      <c r="F14"/>
    </row>
    <row r="15" spans="2:11">
      <c r="B15" s="2" t="s">
        <v>35</v>
      </c>
      <c r="C15" s="2" t="s">
        <v>26</v>
      </c>
      <c r="D15" s="2">
        <v>10</v>
      </c>
      <c r="E15" s="2" t="s">
        <v>26</v>
      </c>
      <c r="F15"/>
    </row>
    <row r="16" spans="2:11">
      <c r="B16" s="2" t="s">
        <v>36</v>
      </c>
      <c r="C16" s="2">
        <v>2</v>
      </c>
      <c r="D16" s="2">
        <v>16</v>
      </c>
      <c r="E16" s="2">
        <v>2</v>
      </c>
      <c r="F16"/>
      <c r="K16" t="s">
        <v>37</v>
      </c>
    </row>
    <row r="17" spans="2:6">
      <c r="B17" s="2" t="s">
        <v>38</v>
      </c>
      <c r="C17" s="2">
        <v>2</v>
      </c>
      <c r="D17" s="2" t="s">
        <v>26</v>
      </c>
      <c r="E17" s="2">
        <v>4</v>
      </c>
      <c r="F17"/>
    </row>
    <row r="18" spans="2:6">
      <c r="B18" s="2" t="s">
        <v>39</v>
      </c>
      <c r="C18" s="2">
        <v>1</v>
      </c>
      <c r="D18" s="2">
        <v>5</v>
      </c>
      <c r="E18" s="2" t="s">
        <v>26</v>
      </c>
      <c r="F18"/>
    </row>
    <row r="19" spans="2:6">
      <c r="B19" s="2" t="s">
        <v>40</v>
      </c>
      <c r="C19" s="2">
        <v>15</v>
      </c>
      <c r="D19" s="2">
        <v>30</v>
      </c>
      <c r="E19" s="2">
        <v>7</v>
      </c>
      <c r="F19"/>
    </row>
    <row r="20" spans="2:6">
      <c r="B20" s="2" t="s">
        <v>41</v>
      </c>
      <c r="C20" s="2">
        <v>13</v>
      </c>
      <c r="D20" s="2">
        <v>20</v>
      </c>
      <c r="E20" s="2">
        <v>2</v>
      </c>
      <c r="F20"/>
    </row>
    <row r="21" spans="2:6">
      <c r="B21" s="2" t="s">
        <v>42</v>
      </c>
      <c r="C21" s="2">
        <v>76</v>
      </c>
      <c r="D21" s="2">
        <v>186</v>
      </c>
      <c r="E21" s="2">
        <v>22</v>
      </c>
      <c r="F21"/>
    </row>
    <row r="22" spans="2:6">
      <c r="B22"/>
      <c r="C22"/>
      <c r="D22"/>
      <c r="E22"/>
      <c r="F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C22E-A3DD-473A-A809-6778246D9396}">
  <dimension ref="A1:N296"/>
  <sheetViews>
    <sheetView showGridLines="0" tabSelected="1" zoomScale="68" zoomScaleNormal="100" workbookViewId="0">
      <pane ySplit="1" topLeftCell="A28" activePane="bottomLeft" state="frozen"/>
      <selection pane="bottomLeft" activeCell="P35" sqref="P35"/>
    </sheetView>
  </sheetViews>
  <sheetFormatPr defaultColWidth="9.140625" defaultRowHeight="15" customHeight="1"/>
  <cols>
    <col min="1" max="1" width="9.42578125" style="2" bestFit="1" customWidth="1"/>
    <col min="2" max="2" width="10.28515625" style="2" customWidth="1"/>
    <col min="3" max="3" width="26.5703125" customWidth="1"/>
    <col min="4" max="4" width="39.5703125" customWidth="1"/>
    <col min="5" max="5" width="23.85546875" customWidth="1"/>
    <col min="6" max="6" width="14.42578125" style="8" customWidth="1"/>
    <col min="7" max="7" width="13.42578125" style="8" customWidth="1"/>
    <col min="8" max="8" width="13" style="8" customWidth="1"/>
    <col min="9" max="9" width="11.140625" style="8" customWidth="1"/>
    <col min="10" max="10" width="13.42578125" style="8" customWidth="1"/>
    <col min="11" max="11" width="15.7109375" style="3" customWidth="1"/>
    <col min="12" max="12" width="14.140625" style="28" hidden="1" customWidth="1"/>
    <col min="13" max="13" width="15.5703125" hidden="1" customWidth="1"/>
    <col min="14" max="14" width="10.85546875" bestFit="1" customWidth="1"/>
  </cols>
  <sheetData>
    <row r="1" spans="1:14" s="5" customFormat="1" ht="30.75">
      <c r="A1" s="20" t="s">
        <v>1</v>
      </c>
      <c r="B1" s="20" t="s">
        <v>2</v>
      </c>
      <c r="C1" s="21" t="s">
        <v>3</v>
      </c>
      <c r="D1" s="21" t="s">
        <v>4</v>
      </c>
      <c r="E1" s="21" t="s">
        <v>5</v>
      </c>
      <c r="F1" s="22" t="s">
        <v>6</v>
      </c>
      <c r="G1" s="24" t="s">
        <v>7</v>
      </c>
      <c r="H1" s="25" t="s">
        <v>8</v>
      </c>
      <c r="I1" s="24" t="s">
        <v>9</v>
      </c>
      <c r="J1" s="23" t="s">
        <v>10</v>
      </c>
      <c r="K1" s="19" t="s">
        <v>11</v>
      </c>
      <c r="L1" s="29" t="s">
        <v>43</v>
      </c>
      <c r="M1" s="5" t="s">
        <v>44</v>
      </c>
    </row>
    <row r="2" spans="1:14" ht="14.45">
      <c r="A2" s="14">
        <v>1</v>
      </c>
      <c r="B2" s="14" t="s">
        <v>40</v>
      </c>
      <c r="C2" s="15" t="s">
        <v>45</v>
      </c>
      <c r="D2" s="15" t="s">
        <v>46</v>
      </c>
      <c r="E2" s="15" t="s">
        <v>19</v>
      </c>
      <c r="F2" s="16"/>
      <c r="G2" s="17"/>
      <c r="H2" s="17"/>
      <c r="I2" s="17"/>
      <c r="J2" s="17">
        <v>46162</v>
      </c>
      <c r="K2" s="3" t="str">
        <f t="shared" ref="K2:K33" ca="1" si="0">IF(COUNT(F2,G2,H2,I2,J2)=0,"No Training Done",IF(TODAY()&lt; MAX(F2,G2,H2,I2,J2)+60,"Not Eligible","Eligible"))</f>
        <v>Not Eligible</v>
      </c>
      <c r="L2" s="27">
        <f ca="1">IF(COUNT(F2:J2)=0,0,TODAY()-MAX(F2:J2))</f>
        <v>1</v>
      </c>
      <c r="M2" s="16"/>
    </row>
    <row r="3" spans="1:14" ht="14.45">
      <c r="A3" s="10">
        <v>2</v>
      </c>
      <c r="B3" s="10" t="s">
        <v>33</v>
      </c>
      <c r="C3" s="11" t="s">
        <v>47</v>
      </c>
      <c r="D3" s="11" t="s">
        <v>48</v>
      </c>
      <c r="E3" s="11" t="s">
        <v>19</v>
      </c>
      <c r="F3" s="12"/>
      <c r="G3" s="12"/>
      <c r="H3" s="12"/>
      <c r="I3" s="12"/>
      <c r="J3" s="12">
        <v>46140</v>
      </c>
      <c r="K3" s="3" t="str">
        <f t="shared" ca="1" si="0"/>
        <v>Not Eligible</v>
      </c>
      <c r="L3" s="27">
        <f t="shared" ref="L2:L65" ca="1" si="1">IF(COUNT(F3:J3)=0,0,TODAY()-MAX(F3:J3))</f>
        <v>23</v>
      </c>
      <c r="M3" s="12"/>
    </row>
    <row r="4" spans="1:14" ht="14.45">
      <c r="A4" s="14">
        <v>3</v>
      </c>
      <c r="B4" s="10" t="s">
        <v>29</v>
      </c>
      <c r="C4" s="11" t="s">
        <v>49</v>
      </c>
      <c r="D4" s="11" t="s">
        <v>50</v>
      </c>
      <c r="E4" s="11" t="s">
        <v>15</v>
      </c>
      <c r="F4" s="12"/>
      <c r="G4" s="12">
        <v>46105</v>
      </c>
      <c r="H4" s="12"/>
      <c r="I4" s="12"/>
      <c r="J4" s="12">
        <v>46153</v>
      </c>
      <c r="K4" s="3" t="str">
        <f t="shared" ca="1" si="0"/>
        <v>Not Eligible</v>
      </c>
      <c r="L4" s="27">
        <f t="shared" ca="1" si="1"/>
        <v>10</v>
      </c>
      <c r="M4" s="12"/>
    </row>
    <row r="5" spans="1:14">
      <c r="A5" s="10">
        <v>4</v>
      </c>
      <c r="B5" s="10" t="s">
        <v>40</v>
      </c>
      <c r="C5" s="11" t="s">
        <v>51</v>
      </c>
      <c r="D5" s="11" t="s">
        <v>52</v>
      </c>
      <c r="E5" s="11" t="s">
        <v>19</v>
      </c>
      <c r="F5" s="12"/>
      <c r="G5" s="12"/>
      <c r="H5" s="12"/>
      <c r="I5" s="12"/>
      <c r="J5" s="17">
        <v>46162</v>
      </c>
      <c r="K5" s="3" t="str">
        <f t="shared" ca="1" si="0"/>
        <v>Not Eligible</v>
      </c>
      <c r="L5" s="27">
        <f t="shared" ca="1" si="1"/>
        <v>1</v>
      </c>
      <c r="M5" s="12"/>
    </row>
    <row r="6" spans="1:14" ht="14.45">
      <c r="A6" s="14">
        <v>5</v>
      </c>
      <c r="B6" s="10" t="s">
        <v>38</v>
      </c>
      <c r="C6" s="11" t="s">
        <v>53</v>
      </c>
      <c r="D6" s="11" t="s">
        <v>54</v>
      </c>
      <c r="E6" s="11" t="s">
        <v>19</v>
      </c>
      <c r="F6" s="12"/>
      <c r="G6" s="12"/>
      <c r="H6" s="12"/>
      <c r="I6" s="12"/>
      <c r="J6" s="12">
        <v>46161</v>
      </c>
      <c r="K6" s="3" t="str">
        <f ca="1">IF(COUNT(F6,G6,H6,I6,J6)=0,"No Training Done",IF(TODAY()&lt; MAX(F6,G6,H6,I6,J6)+60,"Not Eligible","Eligible"))</f>
        <v>Not Eligible</v>
      </c>
      <c r="L6" s="27">
        <f ca="1">IF(COUNT(F6:J6)=0,0,TODAY()-MAX(F6:J6))</f>
        <v>2</v>
      </c>
      <c r="M6" s="12"/>
    </row>
    <row r="7" spans="1:14" ht="14.45">
      <c r="A7" s="10">
        <v>6</v>
      </c>
      <c r="B7" s="10" t="s">
        <v>30</v>
      </c>
      <c r="C7" s="11" t="s">
        <v>55</v>
      </c>
      <c r="D7" s="11" t="s">
        <v>56</v>
      </c>
      <c r="E7" s="11" t="s">
        <v>57</v>
      </c>
      <c r="F7" s="12">
        <v>46076</v>
      </c>
      <c r="G7" s="12">
        <v>46097</v>
      </c>
      <c r="H7" s="12">
        <v>45966</v>
      </c>
      <c r="I7" s="12"/>
      <c r="J7" s="12">
        <v>46135</v>
      </c>
      <c r="K7" s="3" t="str">
        <f t="shared" ca="1" si="0"/>
        <v>Not Eligible</v>
      </c>
      <c r="L7" s="27">
        <f t="shared" ca="1" si="1"/>
        <v>28</v>
      </c>
      <c r="M7" s="12"/>
    </row>
    <row r="8" spans="1:14" ht="14.45">
      <c r="A8" s="14">
        <v>7</v>
      </c>
      <c r="B8" s="10" t="s">
        <v>30</v>
      </c>
      <c r="C8" s="11" t="s">
        <v>58</v>
      </c>
      <c r="D8" s="11" t="s">
        <v>59</v>
      </c>
      <c r="E8" s="11" t="s">
        <v>57</v>
      </c>
      <c r="F8" s="12">
        <v>46055</v>
      </c>
      <c r="G8" s="12">
        <v>46086</v>
      </c>
      <c r="H8" s="12"/>
      <c r="I8" s="12"/>
      <c r="J8" s="12">
        <v>46133</v>
      </c>
      <c r="K8" s="3" t="str">
        <f t="shared" ca="1" si="0"/>
        <v>Not Eligible</v>
      </c>
      <c r="L8" s="27">
        <f t="shared" ca="1" si="1"/>
        <v>30</v>
      </c>
      <c r="M8" s="12"/>
    </row>
    <row r="9" spans="1:14" ht="14.45">
      <c r="A9" s="10">
        <v>8</v>
      </c>
      <c r="B9" s="10" t="s">
        <v>30</v>
      </c>
      <c r="C9" s="11" t="s">
        <v>60</v>
      </c>
      <c r="D9" s="11" t="s">
        <v>61</v>
      </c>
      <c r="E9" s="11" t="s">
        <v>19</v>
      </c>
      <c r="F9" s="12">
        <v>46066</v>
      </c>
      <c r="G9" s="12">
        <v>46092</v>
      </c>
      <c r="H9" s="12">
        <v>45940</v>
      </c>
      <c r="I9" s="12">
        <v>46001</v>
      </c>
      <c r="J9" s="12">
        <v>46135</v>
      </c>
      <c r="K9" s="3" t="str">
        <f t="shared" ca="1" si="0"/>
        <v>Not Eligible</v>
      </c>
      <c r="L9" s="27">
        <f t="shared" ca="1" si="1"/>
        <v>28</v>
      </c>
      <c r="M9" s="12"/>
    </row>
    <row r="10" spans="1:14">
      <c r="A10" s="14">
        <v>9</v>
      </c>
      <c r="B10" s="10" t="s">
        <v>40</v>
      </c>
      <c r="C10" s="11" t="s">
        <v>62</v>
      </c>
      <c r="D10" s="11" t="s">
        <v>63</v>
      </c>
      <c r="E10" s="11" t="s">
        <v>64</v>
      </c>
      <c r="F10" s="12"/>
      <c r="G10" s="12"/>
      <c r="H10" s="12">
        <v>45940</v>
      </c>
      <c r="I10" s="12"/>
      <c r="J10" s="17">
        <v>46162</v>
      </c>
      <c r="K10" s="3" t="str">
        <f t="shared" ca="1" si="0"/>
        <v>Not Eligible</v>
      </c>
      <c r="L10" s="27">
        <f t="shared" ca="1" si="1"/>
        <v>1</v>
      </c>
      <c r="M10" s="12"/>
    </row>
    <row r="11" spans="1:14" ht="14.45">
      <c r="A11" s="10">
        <v>10</v>
      </c>
      <c r="B11" s="10" t="s">
        <v>30</v>
      </c>
      <c r="C11" s="11" t="s">
        <v>65</v>
      </c>
      <c r="D11" s="11" t="s">
        <v>66</v>
      </c>
      <c r="E11" s="11" t="s">
        <v>19</v>
      </c>
      <c r="F11" s="12"/>
      <c r="G11" s="12"/>
      <c r="H11" s="12">
        <v>45919</v>
      </c>
      <c r="I11" s="12">
        <v>45958</v>
      </c>
      <c r="J11" s="12">
        <v>46141</v>
      </c>
      <c r="K11" s="3" t="str">
        <f t="shared" ca="1" si="0"/>
        <v>Not Eligible</v>
      </c>
      <c r="L11" s="27">
        <f t="shared" ca="1" si="1"/>
        <v>22</v>
      </c>
      <c r="M11" s="12"/>
    </row>
    <row r="12" spans="1:14" ht="14.45">
      <c r="A12" s="14">
        <v>11</v>
      </c>
      <c r="B12" s="10" t="s">
        <v>30</v>
      </c>
      <c r="C12" s="11" t="s">
        <v>67</v>
      </c>
      <c r="D12" s="11" t="s">
        <v>68</v>
      </c>
      <c r="E12" s="11" t="s">
        <v>19</v>
      </c>
      <c r="F12" s="12">
        <v>46070</v>
      </c>
      <c r="G12" s="12">
        <v>46092</v>
      </c>
      <c r="H12" s="12">
        <v>45924</v>
      </c>
      <c r="I12" s="12">
        <v>45994</v>
      </c>
      <c r="J12" s="12">
        <v>46147</v>
      </c>
      <c r="K12" s="3" t="str">
        <f t="shared" ca="1" si="0"/>
        <v>Not Eligible</v>
      </c>
      <c r="L12" s="27">
        <f t="shared" ca="1" si="1"/>
        <v>16</v>
      </c>
      <c r="M12" s="12"/>
    </row>
    <row r="13" spans="1:14" ht="14.45">
      <c r="A13" s="10">
        <v>12</v>
      </c>
      <c r="B13" s="10" t="s">
        <v>35</v>
      </c>
      <c r="C13" s="11" t="s">
        <v>69</v>
      </c>
      <c r="D13" s="11" t="s">
        <v>70</v>
      </c>
      <c r="E13" s="11" t="s">
        <v>71</v>
      </c>
      <c r="F13" s="12">
        <v>46071</v>
      </c>
      <c r="G13" s="12"/>
      <c r="H13" s="12">
        <v>45974</v>
      </c>
      <c r="I13" s="12"/>
      <c r="J13" s="12">
        <v>46141</v>
      </c>
      <c r="K13" s="3" t="str">
        <f t="shared" ca="1" si="0"/>
        <v>Not Eligible</v>
      </c>
      <c r="L13" s="27">
        <f t="shared" ca="1" si="1"/>
        <v>22</v>
      </c>
      <c r="M13" s="12"/>
      <c r="N13" s="26"/>
    </row>
    <row r="14" spans="1:14" ht="14.45">
      <c r="A14" s="14">
        <v>13</v>
      </c>
      <c r="B14" s="10" t="s">
        <v>40</v>
      </c>
      <c r="C14" s="11" t="s">
        <v>72</v>
      </c>
      <c r="D14" s="11" t="s">
        <v>73</v>
      </c>
      <c r="E14" s="11" t="s">
        <v>19</v>
      </c>
      <c r="F14" s="12"/>
      <c r="G14" s="12"/>
      <c r="H14" s="12">
        <v>45919</v>
      </c>
      <c r="I14" s="12">
        <v>45965</v>
      </c>
      <c r="J14" s="12">
        <v>46148</v>
      </c>
      <c r="K14" s="3" t="str">
        <f t="shared" ca="1" si="0"/>
        <v>Not Eligible</v>
      </c>
      <c r="L14" s="27">
        <f t="shared" ca="1" si="1"/>
        <v>15</v>
      </c>
      <c r="M14" s="12"/>
    </row>
    <row r="15" spans="1:14" ht="14.45">
      <c r="A15" s="10">
        <v>14</v>
      </c>
      <c r="B15" s="10" t="s">
        <v>30</v>
      </c>
      <c r="C15" s="11" t="s">
        <v>74</v>
      </c>
      <c r="D15" s="11" t="s">
        <v>75</v>
      </c>
      <c r="E15" s="11" t="s">
        <v>19</v>
      </c>
      <c r="F15" s="12">
        <v>46064</v>
      </c>
      <c r="G15" s="12">
        <v>46098</v>
      </c>
      <c r="H15" s="12"/>
      <c r="I15" s="12"/>
      <c r="J15" s="12">
        <v>46148</v>
      </c>
      <c r="K15" s="3" t="str">
        <f t="shared" ca="1" si="0"/>
        <v>Not Eligible</v>
      </c>
      <c r="L15" s="27">
        <f t="shared" ca="1" si="1"/>
        <v>15</v>
      </c>
      <c r="M15" s="12"/>
    </row>
    <row r="16" spans="1:14" ht="14.45">
      <c r="A16" s="14">
        <v>15</v>
      </c>
      <c r="B16" s="10" t="s">
        <v>30</v>
      </c>
      <c r="C16" s="11" t="s">
        <v>76</v>
      </c>
      <c r="D16" s="11" t="s">
        <v>77</v>
      </c>
      <c r="E16" s="11" t="s">
        <v>57</v>
      </c>
      <c r="F16" s="12">
        <v>46051</v>
      </c>
      <c r="G16" s="12">
        <v>46092</v>
      </c>
      <c r="H16" s="12"/>
      <c r="I16" s="12"/>
      <c r="J16" s="12">
        <v>46140</v>
      </c>
      <c r="K16" s="3" t="str">
        <f t="shared" ca="1" si="0"/>
        <v>Not Eligible</v>
      </c>
      <c r="L16" s="27">
        <f t="shared" ca="1" si="1"/>
        <v>23</v>
      </c>
      <c r="M16" s="12"/>
    </row>
    <row r="17" spans="1:13" ht="14.45">
      <c r="A17" s="10">
        <v>16</v>
      </c>
      <c r="B17" s="10" t="s">
        <v>33</v>
      </c>
      <c r="C17" s="11" t="s">
        <v>78</v>
      </c>
      <c r="D17" s="11" t="s">
        <v>79</v>
      </c>
      <c r="E17" s="11" t="s">
        <v>19</v>
      </c>
      <c r="F17" s="12">
        <v>46071</v>
      </c>
      <c r="G17" s="12"/>
      <c r="H17" s="18">
        <v>45974</v>
      </c>
      <c r="I17" s="12"/>
      <c r="J17" s="12">
        <v>46156</v>
      </c>
      <c r="K17" s="3" t="str">
        <f t="shared" ca="1" si="0"/>
        <v>Not Eligible</v>
      </c>
      <c r="L17" s="27">
        <f t="shared" ca="1" si="1"/>
        <v>7</v>
      </c>
      <c r="M17" s="12"/>
    </row>
    <row r="18" spans="1:13" ht="14.45">
      <c r="A18" s="14">
        <v>17</v>
      </c>
      <c r="B18" s="10" t="s">
        <v>40</v>
      </c>
      <c r="C18" s="11" t="s">
        <v>80</v>
      </c>
      <c r="D18" s="11" t="s">
        <v>81</v>
      </c>
      <c r="E18" s="11" t="s">
        <v>19</v>
      </c>
      <c r="F18" s="12"/>
      <c r="G18" s="12"/>
      <c r="H18" s="12">
        <v>45960</v>
      </c>
      <c r="I18" s="12"/>
      <c r="J18" s="12">
        <v>46135</v>
      </c>
      <c r="K18" s="3" t="str">
        <f t="shared" ca="1" si="0"/>
        <v>Not Eligible</v>
      </c>
      <c r="L18" s="27">
        <f t="shared" ca="1" si="1"/>
        <v>28</v>
      </c>
      <c r="M18" s="12"/>
    </row>
    <row r="19" spans="1:13" ht="14.45">
      <c r="A19" s="10">
        <v>18</v>
      </c>
      <c r="B19" s="10" t="s">
        <v>32</v>
      </c>
      <c r="C19" s="11" t="s">
        <v>82</v>
      </c>
      <c r="D19" s="11" t="s">
        <v>83</v>
      </c>
      <c r="E19" s="11" t="s">
        <v>19</v>
      </c>
      <c r="F19" s="12"/>
      <c r="G19" s="12"/>
      <c r="H19" s="12">
        <v>45919</v>
      </c>
      <c r="I19" s="12">
        <v>45965</v>
      </c>
      <c r="J19" s="12">
        <v>46133</v>
      </c>
      <c r="K19" s="3" t="str">
        <f t="shared" ca="1" si="0"/>
        <v>Not Eligible</v>
      </c>
      <c r="L19" s="27">
        <f t="shared" ca="1" si="1"/>
        <v>30</v>
      </c>
      <c r="M19" s="12"/>
    </row>
    <row r="20" spans="1:13" ht="14.45">
      <c r="A20" s="14">
        <v>19</v>
      </c>
      <c r="B20" s="10" t="s">
        <v>30</v>
      </c>
      <c r="C20" s="11" t="s">
        <v>84</v>
      </c>
      <c r="D20" s="11" t="s">
        <v>85</v>
      </c>
      <c r="E20" s="11" t="s">
        <v>19</v>
      </c>
      <c r="F20" s="12">
        <v>46065</v>
      </c>
      <c r="G20" s="12">
        <v>46092</v>
      </c>
      <c r="H20" s="12"/>
      <c r="I20" s="12"/>
      <c r="J20" s="12"/>
      <c r="K20" s="3" t="str">
        <f t="shared" ca="1" si="0"/>
        <v>Eligible</v>
      </c>
      <c r="L20" s="27">
        <f t="shared" ca="1" si="1"/>
        <v>71</v>
      </c>
      <c r="M20" s="12"/>
    </row>
    <row r="21" spans="1:13" ht="14.45">
      <c r="A21" s="10">
        <v>20</v>
      </c>
      <c r="B21" s="10" t="s">
        <v>36</v>
      </c>
      <c r="C21" s="11" t="s">
        <v>86</v>
      </c>
      <c r="D21" s="11" t="s">
        <v>87</v>
      </c>
      <c r="E21" s="11" t="s">
        <v>19</v>
      </c>
      <c r="F21" s="12">
        <v>46057</v>
      </c>
      <c r="G21" s="12">
        <v>46092</v>
      </c>
      <c r="H21" s="12">
        <v>45924</v>
      </c>
      <c r="I21" s="12">
        <v>45958</v>
      </c>
      <c r="J21" s="12">
        <v>46132</v>
      </c>
      <c r="K21" s="3" t="str">
        <f t="shared" ca="1" si="0"/>
        <v>Not Eligible</v>
      </c>
      <c r="L21" s="27">
        <f t="shared" ca="1" si="1"/>
        <v>31</v>
      </c>
      <c r="M21" s="12"/>
    </row>
    <row r="22" spans="1:13" ht="14.45">
      <c r="A22" s="14">
        <v>21</v>
      </c>
      <c r="B22" s="10" t="s">
        <v>12</v>
      </c>
      <c r="C22" s="11" t="s">
        <v>20</v>
      </c>
      <c r="D22" s="11" t="s">
        <v>21</v>
      </c>
      <c r="E22" s="11" t="s">
        <v>19</v>
      </c>
      <c r="F22" s="12"/>
      <c r="G22" s="12">
        <v>46085</v>
      </c>
      <c r="H22" s="12">
        <v>45995</v>
      </c>
      <c r="I22" s="12"/>
      <c r="J22" s="12"/>
      <c r="K22" s="3" t="str">
        <f t="shared" ca="1" si="0"/>
        <v>Eligible</v>
      </c>
      <c r="L22" s="27">
        <f t="shared" ca="1" si="1"/>
        <v>78</v>
      </c>
      <c r="M22" s="12"/>
    </row>
    <row r="23" spans="1:13" ht="14.45">
      <c r="A23" s="10">
        <v>22</v>
      </c>
      <c r="B23" s="10" t="s">
        <v>30</v>
      </c>
      <c r="C23" s="11" t="s">
        <v>88</v>
      </c>
      <c r="D23" s="11" t="s">
        <v>89</v>
      </c>
      <c r="E23" s="11" t="s">
        <v>57</v>
      </c>
      <c r="F23" s="12">
        <v>46050</v>
      </c>
      <c r="G23" s="12">
        <v>46097</v>
      </c>
      <c r="H23" s="12">
        <v>45923</v>
      </c>
      <c r="I23" s="12">
        <v>46000</v>
      </c>
      <c r="J23" s="12">
        <v>46141</v>
      </c>
      <c r="K23" s="3" t="str">
        <f t="shared" ca="1" si="0"/>
        <v>Not Eligible</v>
      </c>
      <c r="L23" s="27">
        <f t="shared" ca="1" si="1"/>
        <v>22</v>
      </c>
      <c r="M23" s="12"/>
    </row>
    <row r="24" spans="1:13" ht="14.45">
      <c r="A24" s="14">
        <v>23</v>
      </c>
      <c r="B24" s="10" t="s">
        <v>32</v>
      </c>
      <c r="C24" s="11" t="s">
        <v>90</v>
      </c>
      <c r="D24" s="11" t="s">
        <v>91</v>
      </c>
      <c r="E24" s="11" t="s">
        <v>19</v>
      </c>
      <c r="F24" s="12"/>
      <c r="G24" s="12"/>
      <c r="H24" s="12">
        <v>45930</v>
      </c>
      <c r="I24" s="12">
        <v>45965</v>
      </c>
      <c r="J24" s="12">
        <v>46147</v>
      </c>
      <c r="K24" s="3" t="str">
        <f t="shared" ca="1" si="0"/>
        <v>Not Eligible</v>
      </c>
      <c r="L24" s="27">
        <f t="shared" ca="1" si="1"/>
        <v>16</v>
      </c>
      <c r="M24" s="12"/>
    </row>
    <row r="25" spans="1:13" ht="14.45">
      <c r="A25" s="10">
        <v>24</v>
      </c>
      <c r="B25" s="10" t="s">
        <v>40</v>
      </c>
      <c r="C25" s="11" t="s">
        <v>92</v>
      </c>
      <c r="D25" s="11" t="s">
        <v>93</v>
      </c>
      <c r="E25" s="11" t="s">
        <v>19</v>
      </c>
      <c r="F25" s="12"/>
      <c r="G25" s="12"/>
      <c r="H25" s="12">
        <v>45966</v>
      </c>
      <c r="I25" s="12">
        <v>45994</v>
      </c>
      <c r="J25" s="12">
        <v>46141</v>
      </c>
      <c r="K25" s="3" t="str">
        <f t="shared" ca="1" si="0"/>
        <v>Not Eligible</v>
      </c>
      <c r="L25" s="27">
        <f t="shared" ca="1" si="1"/>
        <v>22</v>
      </c>
      <c r="M25" s="12"/>
    </row>
    <row r="26" spans="1:13" ht="14.45">
      <c r="A26" s="14">
        <v>25</v>
      </c>
      <c r="B26" s="10" t="s">
        <v>32</v>
      </c>
      <c r="C26" s="11" t="s">
        <v>94</v>
      </c>
      <c r="D26" s="11" t="s">
        <v>95</v>
      </c>
      <c r="E26" s="11" t="s">
        <v>19</v>
      </c>
      <c r="F26" s="12"/>
      <c r="G26" s="12"/>
      <c r="H26" s="12">
        <v>45959</v>
      </c>
      <c r="I26" s="12">
        <v>46006</v>
      </c>
      <c r="J26" s="12"/>
      <c r="K26" s="3" t="str">
        <f t="shared" ca="1" si="0"/>
        <v>Eligible</v>
      </c>
      <c r="L26" s="27">
        <f t="shared" ca="1" si="1"/>
        <v>157</v>
      </c>
      <c r="M26" s="12" t="s">
        <v>96</v>
      </c>
    </row>
    <row r="27" spans="1:13" ht="14.45">
      <c r="A27" s="10">
        <v>26</v>
      </c>
      <c r="B27" s="10" t="s">
        <v>36</v>
      </c>
      <c r="C27" s="11" t="s">
        <v>97</v>
      </c>
      <c r="D27" s="11" t="s">
        <v>98</v>
      </c>
      <c r="E27" s="11" t="s">
        <v>19</v>
      </c>
      <c r="F27" s="12">
        <v>46066</v>
      </c>
      <c r="G27" s="12"/>
      <c r="H27" s="12">
        <v>45959</v>
      </c>
      <c r="I27" s="12">
        <v>46001</v>
      </c>
      <c r="J27" s="12">
        <v>46147</v>
      </c>
      <c r="K27" s="3" t="str">
        <f t="shared" ca="1" si="0"/>
        <v>Not Eligible</v>
      </c>
      <c r="L27" s="27">
        <f t="shared" ca="1" si="1"/>
        <v>16</v>
      </c>
      <c r="M27" s="12"/>
    </row>
    <row r="28" spans="1:13" ht="14.45">
      <c r="A28" s="14">
        <v>27</v>
      </c>
      <c r="B28" s="10" t="s">
        <v>99</v>
      </c>
      <c r="C28" s="11" t="s">
        <v>100</v>
      </c>
      <c r="D28" s="11" t="s">
        <v>101</v>
      </c>
      <c r="E28" s="11" t="s">
        <v>19</v>
      </c>
      <c r="F28" s="12">
        <v>46062</v>
      </c>
      <c r="G28" s="12"/>
      <c r="H28" s="12">
        <v>45924</v>
      </c>
      <c r="I28" s="12">
        <v>45965</v>
      </c>
      <c r="J28" s="12">
        <v>46056</v>
      </c>
      <c r="K28" s="3" t="str">
        <f t="shared" ca="1" si="0"/>
        <v>Eligible</v>
      </c>
      <c r="L28" s="27">
        <f t="shared" ca="1" si="1"/>
        <v>101</v>
      </c>
      <c r="M28" s="12" t="s">
        <v>96</v>
      </c>
    </row>
    <row r="29" spans="1:13" ht="14.45">
      <c r="A29" s="10">
        <v>28</v>
      </c>
      <c r="B29" s="10" t="s">
        <v>30</v>
      </c>
      <c r="C29" s="11" t="s">
        <v>102</v>
      </c>
      <c r="D29" s="11" t="s">
        <v>103</v>
      </c>
      <c r="E29" s="11" t="s">
        <v>57</v>
      </c>
      <c r="F29" s="12">
        <v>46055</v>
      </c>
      <c r="G29" s="12">
        <v>46097</v>
      </c>
      <c r="H29" s="12">
        <v>45930</v>
      </c>
      <c r="I29" s="12"/>
      <c r="J29" s="12">
        <v>46133</v>
      </c>
      <c r="K29" s="3" t="str">
        <f t="shared" ca="1" si="0"/>
        <v>Not Eligible</v>
      </c>
      <c r="L29" s="27">
        <f t="shared" ca="1" si="1"/>
        <v>30</v>
      </c>
      <c r="M29" s="12"/>
    </row>
    <row r="30" spans="1:13" ht="14.45">
      <c r="A30" s="14">
        <v>29</v>
      </c>
      <c r="B30" s="10" t="s">
        <v>33</v>
      </c>
      <c r="C30" s="11" t="s">
        <v>104</v>
      </c>
      <c r="D30" s="11" t="s">
        <v>105</v>
      </c>
      <c r="E30" s="11" t="s">
        <v>19</v>
      </c>
      <c r="F30" s="12">
        <v>46066</v>
      </c>
      <c r="G30" s="12"/>
      <c r="H30" s="12">
        <v>45910</v>
      </c>
      <c r="I30" s="12">
        <v>45965</v>
      </c>
      <c r="J30" s="12"/>
      <c r="K30" s="3" t="str">
        <f t="shared" ca="1" si="0"/>
        <v>Eligible</v>
      </c>
      <c r="L30" s="27">
        <f t="shared" ca="1" si="1"/>
        <v>97</v>
      </c>
      <c r="M30" s="12"/>
    </row>
    <row r="31" spans="1:13" ht="14.45">
      <c r="A31" s="10">
        <v>30</v>
      </c>
      <c r="B31" s="10" t="s">
        <v>40</v>
      </c>
      <c r="C31" s="11" t="s">
        <v>106</v>
      </c>
      <c r="D31" s="11" t="s">
        <v>107</v>
      </c>
      <c r="E31" s="11" t="s">
        <v>19</v>
      </c>
      <c r="F31" s="12"/>
      <c r="G31" s="12"/>
      <c r="H31" s="12"/>
      <c r="I31" s="12"/>
      <c r="J31" s="12">
        <v>46153</v>
      </c>
      <c r="K31" s="3" t="str">
        <f t="shared" ca="1" si="0"/>
        <v>Not Eligible</v>
      </c>
      <c r="L31" s="27">
        <f t="shared" ca="1" si="1"/>
        <v>10</v>
      </c>
      <c r="M31" s="12"/>
    </row>
    <row r="32" spans="1:13" ht="14.45">
      <c r="A32" s="14">
        <v>31</v>
      </c>
      <c r="B32" s="10" t="s">
        <v>33</v>
      </c>
      <c r="C32" s="11" t="s">
        <v>108</v>
      </c>
      <c r="D32" s="11" t="s">
        <v>109</v>
      </c>
      <c r="E32" s="11" t="s">
        <v>19</v>
      </c>
      <c r="F32" s="12">
        <v>46050</v>
      </c>
      <c r="G32" s="12"/>
      <c r="H32" s="12">
        <v>45919</v>
      </c>
      <c r="I32" s="12">
        <v>45958</v>
      </c>
      <c r="J32" s="12">
        <v>46133</v>
      </c>
      <c r="K32" s="3" t="str">
        <f t="shared" ca="1" si="0"/>
        <v>Not Eligible</v>
      </c>
      <c r="L32" s="27">
        <f t="shared" ca="1" si="1"/>
        <v>30</v>
      </c>
      <c r="M32" s="12"/>
    </row>
    <row r="33" spans="1:13" ht="14.45">
      <c r="A33" s="10">
        <v>32</v>
      </c>
      <c r="B33" s="10" t="s">
        <v>39</v>
      </c>
      <c r="C33" s="11" t="s">
        <v>110</v>
      </c>
      <c r="D33" s="11" t="s">
        <v>111</v>
      </c>
      <c r="E33" s="11" t="s">
        <v>19</v>
      </c>
      <c r="F33" s="12">
        <v>46062</v>
      </c>
      <c r="G33" s="12">
        <v>46106</v>
      </c>
      <c r="H33" s="12">
        <v>45924</v>
      </c>
      <c r="I33" s="12"/>
      <c r="J33" s="12">
        <v>46140</v>
      </c>
      <c r="K33" s="3" t="str">
        <f t="shared" ca="1" si="0"/>
        <v>Not Eligible</v>
      </c>
      <c r="L33" s="27">
        <f t="shared" ca="1" si="1"/>
        <v>23</v>
      </c>
      <c r="M33" s="12"/>
    </row>
    <row r="34" spans="1:13" ht="14.45">
      <c r="A34" s="14">
        <v>33</v>
      </c>
      <c r="B34" s="10" t="s">
        <v>32</v>
      </c>
      <c r="C34" s="11" t="s">
        <v>112</v>
      </c>
      <c r="D34" s="11" t="s">
        <v>113</v>
      </c>
      <c r="E34" s="11" t="s">
        <v>15</v>
      </c>
      <c r="F34" s="12"/>
      <c r="G34" s="12"/>
      <c r="H34" s="12">
        <v>45940</v>
      </c>
      <c r="I34" s="12">
        <v>45967</v>
      </c>
      <c r="J34" s="12">
        <v>46139</v>
      </c>
      <c r="K34" s="3" t="str">
        <f t="shared" ref="K34:K65" ca="1" si="2">IF(COUNT(F34,G34,H34,I34,J34)=0,"No Training Done",IF(TODAY()&lt; MAX(F34,G34,H34,I34,J34)+60,"Not Eligible","Eligible"))</f>
        <v>Not Eligible</v>
      </c>
      <c r="L34" s="27">
        <f t="shared" ca="1" si="1"/>
        <v>24</v>
      </c>
      <c r="M34" s="12"/>
    </row>
    <row r="35" spans="1:13" ht="14.45">
      <c r="A35" s="10">
        <v>34</v>
      </c>
      <c r="B35" s="10" t="s">
        <v>29</v>
      </c>
      <c r="C35" s="11" t="s">
        <v>114</v>
      </c>
      <c r="D35" s="11" t="s">
        <v>115</v>
      </c>
      <c r="E35" s="11" t="s">
        <v>19</v>
      </c>
      <c r="F35" s="12">
        <v>46077</v>
      </c>
      <c r="G35" s="12">
        <v>46083</v>
      </c>
      <c r="H35" s="12">
        <v>45943</v>
      </c>
      <c r="I35" s="12">
        <v>46007</v>
      </c>
      <c r="J35" s="12"/>
      <c r="K35" s="3" t="str">
        <f t="shared" ca="1" si="2"/>
        <v>Eligible</v>
      </c>
      <c r="L35" s="27">
        <f t="shared" ca="1" si="1"/>
        <v>80</v>
      </c>
      <c r="M35" s="12"/>
    </row>
    <row r="36" spans="1:13">
      <c r="A36" s="14">
        <v>35</v>
      </c>
      <c r="B36" s="10" t="s">
        <v>40</v>
      </c>
      <c r="C36" s="11" t="s">
        <v>116</v>
      </c>
      <c r="D36" s="11" t="s">
        <v>117</v>
      </c>
      <c r="E36" s="11" t="s">
        <v>19</v>
      </c>
      <c r="F36" s="12"/>
      <c r="G36" s="12"/>
      <c r="H36" s="12"/>
      <c r="I36" s="12"/>
      <c r="J36" s="17">
        <v>46162</v>
      </c>
      <c r="K36" s="3" t="str">
        <f t="shared" ca="1" si="2"/>
        <v>Not Eligible</v>
      </c>
      <c r="L36" s="27">
        <f t="shared" ca="1" si="1"/>
        <v>1</v>
      </c>
      <c r="M36" s="12"/>
    </row>
    <row r="37" spans="1:13" ht="14.45">
      <c r="A37" s="10">
        <v>36</v>
      </c>
      <c r="B37" s="10" t="s">
        <v>40</v>
      </c>
      <c r="C37" s="11" t="s">
        <v>118</v>
      </c>
      <c r="D37" s="11" t="s">
        <v>119</v>
      </c>
      <c r="E37" s="11" t="s">
        <v>19</v>
      </c>
      <c r="F37" s="12"/>
      <c r="G37" s="12">
        <v>46085</v>
      </c>
      <c r="H37" s="12">
        <v>45966</v>
      </c>
      <c r="I37" s="12"/>
      <c r="J37" s="12">
        <v>46148</v>
      </c>
      <c r="K37" s="3" t="str">
        <f t="shared" ca="1" si="2"/>
        <v>Not Eligible</v>
      </c>
      <c r="L37" s="27">
        <f t="shared" ca="1" si="1"/>
        <v>15</v>
      </c>
      <c r="M37" s="12"/>
    </row>
    <row r="38" spans="1:13" ht="14.45">
      <c r="A38" s="14">
        <v>37</v>
      </c>
      <c r="B38" s="10" t="s">
        <v>30</v>
      </c>
      <c r="C38" s="11" t="s">
        <v>120</v>
      </c>
      <c r="D38" s="11" t="s">
        <v>121</v>
      </c>
      <c r="E38" s="11" t="s">
        <v>19</v>
      </c>
      <c r="F38" s="12">
        <v>46076</v>
      </c>
      <c r="G38" s="12"/>
      <c r="H38" s="12">
        <v>45919</v>
      </c>
      <c r="I38" s="12"/>
      <c r="J38" s="12">
        <v>46132</v>
      </c>
      <c r="K38" s="3" t="str">
        <f t="shared" ca="1" si="2"/>
        <v>Not Eligible</v>
      </c>
      <c r="L38" s="27">
        <f t="shared" ca="1" si="1"/>
        <v>31</v>
      </c>
      <c r="M38" s="12"/>
    </row>
    <row r="39" spans="1:13" ht="14.45">
      <c r="A39" s="10">
        <v>38</v>
      </c>
      <c r="B39" s="10" t="s">
        <v>34</v>
      </c>
      <c r="C39" s="11" t="s">
        <v>122</v>
      </c>
      <c r="D39" s="11" t="s">
        <v>123</v>
      </c>
      <c r="E39" s="11" t="s">
        <v>71</v>
      </c>
      <c r="F39" s="12"/>
      <c r="G39" s="12"/>
      <c r="H39" s="12"/>
      <c r="I39" s="12"/>
      <c r="J39" s="12"/>
      <c r="K39" s="3" t="str">
        <f t="shared" ca="1" si="2"/>
        <v>No Training Done</v>
      </c>
      <c r="L39" s="27">
        <f t="shared" ca="1" si="1"/>
        <v>0</v>
      </c>
      <c r="M39" s="12"/>
    </row>
    <row r="40" spans="1:13" ht="14.45">
      <c r="A40" s="14">
        <v>39</v>
      </c>
      <c r="B40" s="10" t="s">
        <v>30</v>
      </c>
      <c r="C40" s="11" t="s">
        <v>124</v>
      </c>
      <c r="D40" s="11" t="s">
        <v>125</v>
      </c>
      <c r="E40" s="11" t="s">
        <v>57</v>
      </c>
      <c r="F40" s="12">
        <v>46063</v>
      </c>
      <c r="G40" s="12">
        <v>46097</v>
      </c>
      <c r="H40" s="12"/>
      <c r="I40" s="12"/>
      <c r="J40" s="12"/>
      <c r="K40" s="3" t="str">
        <f t="shared" ca="1" si="2"/>
        <v>Eligible</v>
      </c>
      <c r="L40" s="27">
        <f t="shared" ca="1" si="1"/>
        <v>66</v>
      </c>
      <c r="M40" s="12"/>
    </row>
    <row r="41" spans="1:13">
      <c r="A41" s="10">
        <v>40</v>
      </c>
      <c r="B41" s="10" t="s">
        <v>40</v>
      </c>
      <c r="C41" s="11" t="s">
        <v>126</v>
      </c>
      <c r="D41" s="11" t="s">
        <v>127</v>
      </c>
      <c r="E41" s="11" t="s">
        <v>19</v>
      </c>
      <c r="F41" s="12"/>
      <c r="G41" s="12"/>
      <c r="H41" s="12">
        <v>45943</v>
      </c>
      <c r="I41" s="12"/>
      <c r="J41" s="17">
        <v>46162</v>
      </c>
      <c r="K41" s="3" t="str">
        <f t="shared" ca="1" si="2"/>
        <v>Not Eligible</v>
      </c>
      <c r="L41" s="27">
        <f t="shared" ca="1" si="1"/>
        <v>1</v>
      </c>
      <c r="M41" s="12"/>
    </row>
    <row r="42" spans="1:13" ht="14.45">
      <c r="A42" s="14">
        <v>41</v>
      </c>
      <c r="B42" s="10" t="s">
        <v>34</v>
      </c>
      <c r="C42" s="11" t="s">
        <v>128</v>
      </c>
      <c r="D42" s="11" t="s">
        <v>129</v>
      </c>
      <c r="E42" s="11" t="s">
        <v>71</v>
      </c>
      <c r="F42" s="12"/>
      <c r="G42" s="12"/>
      <c r="H42" s="12"/>
      <c r="I42" s="12"/>
      <c r="J42" s="12"/>
      <c r="K42" s="3" t="str">
        <f t="shared" ca="1" si="2"/>
        <v>No Training Done</v>
      </c>
      <c r="L42" s="27">
        <f t="shared" ca="1" si="1"/>
        <v>0</v>
      </c>
      <c r="M42" s="12"/>
    </row>
    <row r="43" spans="1:13">
      <c r="A43" s="10">
        <v>42</v>
      </c>
      <c r="B43" s="10" t="s">
        <v>40</v>
      </c>
      <c r="C43" s="11" t="s">
        <v>130</v>
      </c>
      <c r="D43" s="11" t="s">
        <v>131</v>
      </c>
      <c r="E43" s="11" t="s">
        <v>19</v>
      </c>
      <c r="F43" s="12"/>
      <c r="G43" s="12"/>
      <c r="H43" s="12">
        <v>45959</v>
      </c>
      <c r="I43" s="12">
        <v>45971</v>
      </c>
      <c r="J43" s="17">
        <v>46162</v>
      </c>
      <c r="K43" s="3" t="str">
        <f t="shared" ca="1" si="2"/>
        <v>Not Eligible</v>
      </c>
      <c r="L43" s="27">
        <f t="shared" ca="1" si="1"/>
        <v>1</v>
      </c>
      <c r="M43" s="12"/>
    </row>
    <row r="44" spans="1:13" ht="14.45">
      <c r="A44" s="14">
        <v>43</v>
      </c>
      <c r="B44" s="10" t="s">
        <v>29</v>
      </c>
      <c r="C44" s="11" t="s">
        <v>132</v>
      </c>
      <c r="D44" s="11" t="s">
        <v>133</v>
      </c>
      <c r="E44" s="11" t="s">
        <v>15</v>
      </c>
      <c r="F44" s="12"/>
      <c r="G44" s="12">
        <v>46092</v>
      </c>
      <c r="H44" s="12">
        <v>45959</v>
      </c>
      <c r="I44" s="12">
        <v>45971</v>
      </c>
      <c r="J44" s="12">
        <v>46140</v>
      </c>
      <c r="K44" s="3" t="str">
        <f t="shared" ca="1" si="2"/>
        <v>Not Eligible</v>
      </c>
      <c r="L44" s="27">
        <f t="shared" ca="1" si="1"/>
        <v>23</v>
      </c>
      <c r="M44" s="12"/>
    </row>
    <row r="45" spans="1:13" ht="14.45">
      <c r="A45" s="10">
        <v>44</v>
      </c>
      <c r="B45" s="10" t="s">
        <v>38</v>
      </c>
      <c r="C45" s="11" t="s">
        <v>134</v>
      </c>
      <c r="D45" s="11" t="s">
        <v>135</v>
      </c>
      <c r="E45" s="11" t="s">
        <v>19</v>
      </c>
      <c r="F45" s="12"/>
      <c r="G45" s="12"/>
      <c r="H45" s="12"/>
      <c r="I45" s="12"/>
      <c r="J45" s="12">
        <v>46162</v>
      </c>
      <c r="K45" s="3" t="str">
        <f t="shared" ca="1" si="2"/>
        <v>Not Eligible</v>
      </c>
      <c r="L45" s="27">
        <f t="shared" ca="1" si="1"/>
        <v>1</v>
      </c>
      <c r="M45" s="12"/>
    </row>
    <row r="46" spans="1:13" ht="14.45">
      <c r="A46" s="14">
        <v>45</v>
      </c>
      <c r="B46" s="10" t="s">
        <v>29</v>
      </c>
      <c r="C46" s="11" t="s">
        <v>136</v>
      </c>
      <c r="D46" s="11" t="s">
        <v>137</v>
      </c>
      <c r="E46" s="11" t="s">
        <v>15</v>
      </c>
      <c r="F46" s="12"/>
      <c r="G46" s="12">
        <v>46093</v>
      </c>
      <c r="H46" s="12">
        <v>45974</v>
      </c>
      <c r="I46" s="12">
        <v>46001</v>
      </c>
      <c r="J46" s="12">
        <v>46154</v>
      </c>
      <c r="K46" s="3" t="str">
        <f t="shared" ca="1" si="2"/>
        <v>Not Eligible</v>
      </c>
      <c r="L46" s="27">
        <f t="shared" ca="1" si="1"/>
        <v>9</v>
      </c>
      <c r="M46" s="12"/>
    </row>
    <row r="47" spans="1:13" ht="14.45">
      <c r="A47" s="10">
        <v>46</v>
      </c>
      <c r="B47" s="10" t="s">
        <v>40</v>
      </c>
      <c r="C47" s="11" t="s">
        <v>138</v>
      </c>
      <c r="D47" s="11" t="s">
        <v>139</v>
      </c>
      <c r="E47" s="11" t="s">
        <v>64</v>
      </c>
      <c r="F47" s="12"/>
      <c r="G47" s="12"/>
      <c r="H47" s="12">
        <v>45940</v>
      </c>
      <c r="I47" s="12"/>
      <c r="J47" s="12">
        <v>46148</v>
      </c>
      <c r="K47" s="3" t="str">
        <f t="shared" ca="1" si="2"/>
        <v>Not Eligible</v>
      </c>
      <c r="L47" s="27">
        <f t="shared" ca="1" si="1"/>
        <v>15</v>
      </c>
      <c r="M47" s="12"/>
    </row>
    <row r="48" spans="1:13" ht="14.45">
      <c r="A48" s="14">
        <v>47</v>
      </c>
      <c r="B48" s="10" t="s">
        <v>35</v>
      </c>
      <c r="C48" s="11" t="s">
        <v>140</v>
      </c>
      <c r="D48" s="11" t="s">
        <v>141</v>
      </c>
      <c r="E48" s="11" t="s">
        <v>71</v>
      </c>
      <c r="F48" s="12">
        <v>46057</v>
      </c>
      <c r="G48" s="12"/>
      <c r="H48" s="12">
        <v>45980</v>
      </c>
      <c r="I48" s="12">
        <v>45958</v>
      </c>
      <c r="J48" s="12">
        <v>46132</v>
      </c>
      <c r="K48" s="3" t="str">
        <f t="shared" ca="1" si="2"/>
        <v>Not Eligible</v>
      </c>
      <c r="L48" s="27">
        <f t="shared" ca="1" si="1"/>
        <v>31</v>
      </c>
      <c r="M48" s="12"/>
    </row>
    <row r="49" spans="1:13" ht="14.45">
      <c r="A49" s="10">
        <v>48</v>
      </c>
      <c r="B49" s="10" t="s">
        <v>35</v>
      </c>
      <c r="C49" s="11" t="s">
        <v>142</v>
      </c>
      <c r="D49" s="11" t="s">
        <v>143</v>
      </c>
      <c r="E49" s="11" t="s">
        <v>71</v>
      </c>
      <c r="F49" s="12">
        <v>46057</v>
      </c>
      <c r="G49" s="12"/>
      <c r="H49" s="12">
        <v>45931</v>
      </c>
      <c r="I49" s="12">
        <v>46000</v>
      </c>
      <c r="J49" s="12">
        <v>46148</v>
      </c>
      <c r="K49" s="3" t="str">
        <f t="shared" ca="1" si="2"/>
        <v>Not Eligible</v>
      </c>
      <c r="L49" s="27">
        <f t="shared" ca="1" si="1"/>
        <v>15</v>
      </c>
      <c r="M49" s="12"/>
    </row>
    <row r="50" spans="1:13" ht="14.45">
      <c r="A50" s="14">
        <v>49</v>
      </c>
      <c r="B50" s="10" t="s">
        <v>32</v>
      </c>
      <c r="C50" s="11" t="s">
        <v>144</v>
      </c>
      <c r="D50" s="11" t="s">
        <v>145</v>
      </c>
      <c r="E50" s="11" t="s">
        <v>19</v>
      </c>
      <c r="F50" s="12"/>
      <c r="G50" s="12"/>
      <c r="H50" s="12">
        <v>45930</v>
      </c>
      <c r="I50" s="12">
        <v>45971</v>
      </c>
      <c r="J50" s="12">
        <v>46148</v>
      </c>
      <c r="K50" s="3" t="str">
        <f t="shared" ca="1" si="2"/>
        <v>Not Eligible</v>
      </c>
      <c r="L50" s="27">
        <f t="shared" ca="1" si="1"/>
        <v>15</v>
      </c>
      <c r="M50" s="12"/>
    </row>
    <row r="51" spans="1:13" ht="14.45">
      <c r="A51" s="10">
        <v>50</v>
      </c>
      <c r="B51" s="10" t="s">
        <v>30</v>
      </c>
      <c r="C51" s="11" t="s">
        <v>146</v>
      </c>
      <c r="D51" s="11" t="s">
        <v>147</v>
      </c>
      <c r="E51" s="11" t="s">
        <v>57</v>
      </c>
      <c r="F51" s="12">
        <v>46062</v>
      </c>
      <c r="G51" s="12">
        <v>46092</v>
      </c>
      <c r="H51" s="12">
        <v>45924</v>
      </c>
      <c r="I51" s="12">
        <v>45958</v>
      </c>
      <c r="J51" s="12">
        <v>46140</v>
      </c>
      <c r="K51" s="3" t="str">
        <f t="shared" ca="1" si="2"/>
        <v>Not Eligible</v>
      </c>
      <c r="L51" s="27">
        <f t="shared" ca="1" si="1"/>
        <v>23</v>
      </c>
      <c r="M51" s="12"/>
    </row>
    <row r="52" spans="1:13" ht="14.45">
      <c r="A52" s="14">
        <v>51</v>
      </c>
      <c r="B52" s="10" t="s">
        <v>41</v>
      </c>
      <c r="C52" s="11" t="s">
        <v>148</v>
      </c>
      <c r="D52" s="11" t="s">
        <v>149</v>
      </c>
      <c r="E52" s="11" t="s">
        <v>15</v>
      </c>
      <c r="F52" s="12">
        <v>46065</v>
      </c>
      <c r="G52" s="12">
        <v>46098</v>
      </c>
      <c r="H52" s="12">
        <v>45940</v>
      </c>
      <c r="I52" s="12">
        <v>45961</v>
      </c>
      <c r="J52" s="12"/>
      <c r="K52" s="3" t="str">
        <f t="shared" ca="1" si="2"/>
        <v>Eligible</v>
      </c>
      <c r="L52" s="27">
        <f t="shared" ca="1" si="1"/>
        <v>65</v>
      </c>
      <c r="M52" s="12"/>
    </row>
    <row r="53" spans="1:13" ht="14.45">
      <c r="A53" s="10">
        <v>52</v>
      </c>
      <c r="B53" s="10" t="s">
        <v>40</v>
      </c>
      <c r="C53" s="11" t="s">
        <v>150</v>
      </c>
      <c r="D53" s="11" t="s">
        <v>151</v>
      </c>
      <c r="E53" s="11" t="s">
        <v>64</v>
      </c>
      <c r="F53" s="12"/>
      <c r="G53" s="12"/>
      <c r="H53" s="12">
        <v>45974</v>
      </c>
      <c r="I53" s="12"/>
      <c r="J53" s="12">
        <v>46154</v>
      </c>
      <c r="K53" s="3" t="str">
        <f t="shared" ca="1" si="2"/>
        <v>Not Eligible</v>
      </c>
      <c r="L53" s="27">
        <f t="shared" ca="1" si="1"/>
        <v>9</v>
      </c>
      <c r="M53" s="12"/>
    </row>
    <row r="54" spans="1:13" ht="14.45">
      <c r="A54" s="14">
        <v>53</v>
      </c>
      <c r="B54" s="10" t="s">
        <v>32</v>
      </c>
      <c r="C54" s="11" t="s">
        <v>152</v>
      </c>
      <c r="D54" s="11" t="s">
        <v>153</v>
      </c>
      <c r="E54" s="11" t="s">
        <v>19</v>
      </c>
      <c r="F54" s="12"/>
      <c r="G54" s="12"/>
      <c r="H54" s="12">
        <v>45940</v>
      </c>
      <c r="I54" s="12">
        <v>45967</v>
      </c>
      <c r="J54" s="12"/>
      <c r="K54" s="3" t="str">
        <f t="shared" ca="1" si="2"/>
        <v>Eligible</v>
      </c>
      <c r="L54" s="27">
        <f t="shared" ca="1" si="1"/>
        <v>196</v>
      </c>
      <c r="M54" s="12" t="s">
        <v>96</v>
      </c>
    </row>
    <row r="55" spans="1:13" ht="14.45">
      <c r="A55" s="10">
        <v>54</v>
      </c>
      <c r="B55" s="10" t="s">
        <v>30</v>
      </c>
      <c r="C55" s="11" t="s">
        <v>154</v>
      </c>
      <c r="D55" s="11" t="s">
        <v>155</v>
      </c>
      <c r="E55" s="11" t="s">
        <v>57</v>
      </c>
      <c r="F55" s="12">
        <v>46070</v>
      </c>
      <c r="G55" s="12">
        <v>46085</v>
      </c>
      <c r="H55" s="12">
        <v>45930</v>
      </c>
      <c r="I55" s="12">
        <v>46001</v>
      </c>
      <c r="J55" s="12">
        <v>46141</v>
      </c>
      <c r="K55" s="3" t="str">
        <f t="shared" ca="1" si="2"/>
        <v>Not Eligible</v>
      </c>
      <c r="L55" s="27">
        <f t="shared" ca="1" si="1"/>
        <v>22</v>
      </c>
      <c r="M55" s="12"/>
    </row>
    <row r="56" spans="1:13" ht="14.45">
      <c r="A56" s="14">
        <v>55</v>
      </c>
      <c r="B56" s="10" t="s">
        <v>41</v>
      </c>
      <c r="C56" s="11" t="s">
        <v>156</v>
      </c>
      <c r="D56" s="11" t="s">
        <v>157</v>
      </c>
      <c r="E56" s="11" t="s">
        <v>19</v>
      </c>
      <c r="F56" s="12"/>
      <c r="G56" s="12"/>
      <c r="H56" s="12">
        <v>45974</v>
      </c>
      <c r="I56" s="12"/>
      <c r="J56" s="12">
        <v>46141</v>
      </c>
      <c r="K56" s="3" t="str">
        <f t="shared" ca="1" si="2"/>
        <v>Not Eligible</v>
      </c>
      <c r="L56" s="27">
        <f t="shared" ca="1" si="1"/>
        <v>22</v>
      </c>
      <c r="M56" s="12"/>
    </row>
    <row r="57" spans="1:13" ht="14.45">
      <c r="A57" s="10">
        <v>56</v>
      </c>
      <c r="B57" s="10" t="s">
        <v>30</v>
      </c>
      <c r="C57" s="11" t="s">
        <v>158</v>
      </c>
      <c r="D57" s="11" t="s">
        <v>159</v>
      </c>
      <c r="E57" s="11" t="s">
        <v>19</v>
      </c>
      <c r="F57" s="12">
        <v>46076</v>
      </c>
      <c r="G57" s="12">
        <v>46093</v>
      </c>
      <c r="H57" s="12">
        <v>45929</v>
      </c>
      <c r="I57" s="12"/>
      <c r="J57" s="12"/>
      <c r="K57" s="3" t="str">
        <f t="shared" ca="1" si="2"/>
        <v>Eligible</v>
      </c>
      <c r="L57" s="27">
        <f t="shared" ca="1" si="1"/>
        <v>70</v>
      </c>
      <c r="M57" s="12"/>
    </row>
    <row r="58" spans="1:13" ht="14.45">
      <c r="A58" s="14">
        <v>57</v>
      </c>
      <c r="B58" s="10" t="s">
        <v>30</v>
      </c>
      <c r="C58" s="11" t="s">
        <v>160</v>
      </c>
      <c r="D58" s="11" t="s">
        <v>161</v>
      </c>
      <c r="E58" s="11" t="s">
        <v>57</v>
      </c>
      <c r="F58" s="12">
        <v>46051</v>
      </c>
      <c r="G58" s="12">
        <v>46092</v>
      </c>
      <c r="H58" s="12">
        <v>45931</v>
      </c>
      <c r="I58" s="12">
        <v>45994</v>
      </c>
      <c r="J58" s="12"/>
      <c r="K58" s="3" t="str">
        <f t="shared" ca="1" si="2"/>
        <v>Eligible</v>
      </c>
      <c r="L58" s="27">
        <f t="shared" ca="1" si="1"/>
        <v>71</v>
      </c>
      <c r="M58" s="12"/>
    </row>
    <row r="59" spans="1:13" ht="14.45">
      <c r="A59" s="10">
        <v>58</v>
      </c>
      <c r="B59" s="10" t="s">
        <v>30</v>
      </c>
      <c r="C59" s="11" t="s">
        <v>162</v>
      </c>
      <c r="D59" s="11" t="s">
        <v>163</v>
      </c>
      <c r="E59" s="11" t="s">
        <v>19</v>
      </c>
      <c r="F59" s="12">
        <v>46076</v>
      </c>
      <c r="G59" s="12">
        <v>46099</v>
      </c>
      <c r="H59" s="12"/>
      <c r="I59" s="12"/>
      <c r="J59" s="12"/>
      <c r="K59" s="3" t="str">
        <f t="shared" ca="1" si="2"/>
        <v>Eligible</v>
      </c>
      <c r="L59" s="27">
        <f t="shared" ca="1" si="1"/>
        <v>64</v>
      </c>
      <c r="M59" s="12"/>
    </row>
    <row r="60" spans="1:13" ht="14.45">
      <c r="A60" s="14">
        <v>59</v>
      </c>
      <c r="B60" s="10" t="s">
        <v>40</v>
      </c>
      <c r="C60" s="11" t="s">
        <v>164</v>
      </c>
      <c r="D60" s="11" t="s">
        <v>165</v>
      </c>
      <c r="E60" s="11" t="s">
        <v>19</v>
      </c>
      <c r="F60" s="12"/>
      <c r="G60" s="12"/>
      <c r="H60" s="12">
        <v>45966</v>
      </c>
      <c r="I60" s="12"/>
      <c r="J60" s="12">
        <v>46153</v>
      </c>
      <c r="K60" s="3" t="str">
        <f t="shared" ca="1" si="2"/>
        <v>Not Eligible</v>
      </c>
      <c r="L60" s="27">
        <f t="shared" ca="1" si="1"/>
        <v>10</v>
      </c>
      <c r="M60" s="12"/>
    </row>
    <row r="61" spans="1:13" ht="14.45">
      <c r="A61" s="10">
        <v>60</v>
      </c>
      <c r="B61" s="10" t="s">
        <v>41</v>
      </c>
      <c r="C61" s="11" t="s">
        <v>166</v>
      </c>
      <c r="D61" s="11" t="s">
        <v>167</v>
      </c>
      <c r="E61" s="11" t="s">
        <v>19</v>
      </c>
      <c r="F61" s="12"/>
      <c r="G61" s="12"/>
      <c r="H61" s="12">
        <v>45959</v>
      </c>
      <c r="I61" s="12">
        <v>46001</v>
      </c>
      <c r="J61" s="12">
        <v>46153</v>
      </c>
      <c r="K61" s="3" t="str">
        <f t="shared" ca="1" si="2"/>
        <v>Not Eligible</v>
      </c>
      <c r="L61" s="27">
        <f t="shared" ca="1" si="1"/>
        <v>10</v>
      </c>
      <c r="M61" s="12"/>
    </row>
    <row r="62" spans="1:13" ht="14.45">
      <c r="A62" s="14">
        <v>61</v>
      </c>
      <c r="B62" s="10" t="s">
        <v>30</v>
      </c>
      <c r="C62" s="11" t="s">
        <v>168</v>
      </c>
      <c r="D62" s="11" t="s">
        <v>169</v>
      </c>
      <c r="E62" s="11" t="s">
        <v>19</v>
      </c>
      <c r="F62" s="12">
        <v>46065</v>
      </c>
      <c r="G62" s="12">
        <v>46099</v>
      </c>
      <c r="H62" s="12">
        <v>45923</v>
      </c>
      <c r="I62" s="12"/>
      <c r="J62" s="12"/>
      <c r="K62" s="3" t="str">
        <f t="shared" ca="1" si="2"/>
        <v>Eligible</v>
      </c>
      <c r="L62" s="27">
        <f t="shared" ca="1" si="1"/>
        <v>64</v>
      </c>
      <c r="M62" s="12"/>
    </row>
    <row r="63" spans="1:13" ht="14.45">
      <c r="A63" s="10">
        <v>62</v>
      </c>
      <c r="B63" s="10" t="s">
        <v>35</v>
      </c>
      <c r="C63" s="11" t="s">
        <v>170</v>
      </c>
      <c r="D63" s="13" t="s">
        <v>171</v>
      </c>
      <c r="E63" s="11" t="s">
        <v>71</v>
      </c>
      <c r="F63" s="12"/>
      <c r="G63" s="12"/>
      <c r="H63" s="12"/>
      <c r="I63" s="12"/>
      <c r="J63" s="12">
        <v>46140</v>
      </c>
      <c r="K63" s="3" t="str">
        <f t="shared" ca="1" si="2"/>
        <v>Not Eligible</v>
      </c>
      <c r="L63" s="27">
        <f t="shared" ca="1" si="1"/>
        <v>23</v>
      </c>
      <c r="M63" s="12"/>
    </row>
    <row r="64" spans="1:13" ht="14.45">
      <c r="A64" s="14">
        <v>63</v>
      </c>
      <c r="B64" s="10" t="s">
        <v>40</v>
      </c>
      <c r="C64" s="11" t="s">
        <v>172</v>
      </c>
      <c r="D64" s="11" t="s">
        <v>173</v>
      </c>
      <c r="E64" s="11" t="s">
        <v>19</v>
      </c>
      <c r="F64" s="12"/>
      <c r="G64" s="12"/>
      <c r="H64" s="12">
        <v>45943</v>
      </c>
      <c r="I64" s="12">
        <v>46000</v>
      </c>
      <c r="J64" s="12">
        <v>46132</v>
      </c>
      <c r="K64" s="3" t="str">
        <f t="shared" ca="1" si="2"/>
        <v>Not Eligible</v>
      </c>
      <c r="L64" s="27">
        <f t="shared" ca="1" si="1"/>
        <v>31</v>
      </c>
      <c r="M64" s="12"/>
    </row>
    <row r="65" spans="1:13" ht="14.45">
      <c r="A65" s="10">
        <v>64</v>
      </c>
      <c r="B65" s="10" t="s">
        <v>29</v>
      </c>
      <c r="C65" s="11" t="s">
        <v>174</v>
      </c>
      <c r="D65" s="11" t="s">
        <v>175</v>
      </c>
      <c r="E65" s="11" t="s">
        <v>15</v>
      </c>
      <c r="F65" s="12">
        <v>46056</v>
      </c>
      <c r="G65" s="12">
        <v>46086</v>
      </c>
      <c r="H65" s="12">
        <v>45966</v>
      </c>
      <c r="I65" s="12">
        <v>46000</v>
      </c>
      <c r="J65" s="12">
        <v>46147</v>
      </c>
      <c r="K65" s="3" t="str">
        <f t="shared" ca="1" si="2"/>
        <v>Not Eligible</v>
      </c>
      <c r="L65" s="27">
        <f t="shared" ca="1" si="1"/>
        <v>16</v>
      </c>
      <c r="M65" s="12"/>
    </row>
    <row r="66" spans="1:13" ht="14.45">
      <c r="A66" s="14">
        <v>65</v>
      </c>
      <c r="B66" s="10" t="s">
        <v>27</v>
      </c>
      <c r="C66" s="11" t="s">
        <v>176</v>
      </c>
      <c r="D66" s="11" t="s">
        <v>177</v>
      </c>
      <c r="E66" s="11" t="s">
        <v>178</v>
      </c>
      <c r="F66" s="12"/>
      <c r="G66" s="12"/>
      <c r="H66" s="12"/>
      <c r="I66" s="12"/>
      <c r="J66" s="12"/>
      <c r="K66" s="3" t="str">
        <f t="shared" ref="K66:K97" ca="1" si="3">IF(COUNT(F66,G66,H66,I66,J66)=0,"No Training Done",IF(TODAY()&lt; MAX(F66,G66,H66,I66,J66)+60,"Not Eligible","Eligible"))</f>
        <v>No Training Done</v>
      </c>
      <c r="L66" s="27">
        <f t="shared" ref="L66:L129" ca="1" si="4">IF(COUNT(F66:J66)=0,0,TODAY()-MAX(F66:J66))</f>
        <v>0</v>
      </c>
      <c r="M66" s="12"/>
    </row>
    <row r="67" spans="1:13" ht="14.45">
      <c r="A67" s="10">
        <v>66</v>
      </c>
      <c r="B67" s="10" t="s">
        <v>33</v>
      </c>
      <c r="C67" s="11" t="s">
        <v>179</v>
      </c>
      <c r="D67" s="11" t="s">
        <v>180</v>
      </c>
      <c r="E67" s="11" t="s">
        <v>19</v>
      </c>
      <c r="F67" s="12"/>
      <c r="G67" s="12"/>
      <c r="H67" s="12">
        <v>45924</v>
      </c>
      <c r="I67" s="12">
        <v>46007</v>
      </c>
      <c r="J67" s="12">
        <v>46135</v>
      </c>
      <c r="K67" s="3" t="str">
        <f t="shared" ca="1" si="3"/>
        <v>Not Eligible</v>
      </c>
      <c r="L67" s="27">
        <f t="shared" ca="1" si="4"/>
        <v>28</v>
      </c>
      <c r="M67" s="12"/>
    </row>
    <row r="68" spans="1:13" ht="14.45">
      <c r="A68" s="14">
        <v>67</v>
      </c>
      <c r="B68" s="10" t="s">
        <v>41</v>
      </c>
      <c r="C68" s="11" t="s">
        <v>181</v>
      </c>
      <c r="D68" s="11" t="s">
        <v>182</v>
      </c>
      <c r="E68" s="11" t="s">
        <v>19</v>
      </c>
      <c r="F68" s="12"/>
      <c r="G68" s="12"/>
      <c r="H68" s="12">
        <v>45943</v>
      </c>
      <c r="I68" s="12">
        <v>46007</v>
      </c>
      <c r="J68" s="12">
        <v>46154</v>
      </c>
      <c r="K68" s="3" t="str">
        <f t="shared" ca="1" si="3"/>
        <v>Not Eligible</v>
      </c>
      <c r="L68" s="27">
        <f t="shared" ca="1" si="4"/>
        <v>9</v>
      </c>
      <c r="M68" s="12"/>
    </row>
    <row r="69" spans="1:13">
      <c r="A69" s="10">
        <v>68</v>
      </c>
      <c r="B69" s="10" t="s">
        <v>40</v>
      </c>
      <c r="C69" s="11" t="s">
        <v>183</v>
      </c>
      <c r="D69" s="11" t="s">
        <v>184</v>
      </c>
      <c r="E69" s="11" t="s">
        <v>19</v>
      </c>
      <c r="F69" s="12"/>
      <c r="G69" s="12"/>
      <c r="H69" s="12"/>
      <c r="I69" s="12"/>
      <c r="J69" s="17">
        <v>46162</v>
      </c>
      <c r="K69" s="3" t="str">
        <f t="shared" ca="1" si="3"/>
        <v>Not Eligible</v>
      </c>
      <c r="L69" s="27">
        <f t="shared" ca="1" si="4"/>
        <v>1</v>
      </c>
      <c r="M69" s="12"/>
    </row>
    <row r="70" spans="1:13" ht="14.45">
      <c r="A70" s="14">
        <v>69</v>
      </c>
      <c r="B70" s="10" t="s">
        <v>33</v>
      </c>
      <c r="C70" s="11" t="s">
        <v>185</v>
      </c>
      <c r="D70" s="11" t="s">
        <v>186</v>
      </c>
      <c r="E70" s="11" t="s">
        <v>19</v>
      </c>
      <c r="F70" s="12">
        <v>46078</v>
      </c>
      <c r="G70" s="12"/>
      <c r="H70" s="12">
        <v>45910</v>
      </c>
      <c r="I70" s="12">
        <v>45961</v>
      </c>
      <c r="J70" s="12">
        <v>46147</v>
      </c>
      <c r="K70" s="3" t="str">
        <f t="shared" ca="1" si="3"/>
        <v>Not Eligible</v>
      </c>
      <c r="L70" s="27">
        <f t="shared" ca="1" si="4"/>
        <v>16</v>
      </c>
      <c r="M70" s="12"/>
    </row>
    <row r="71" spans="1:13" ht="14.45">
      <c r="A71" s="10">
        <v>70</v>
      </c>
      <c r="B71" s="10" t="s">
        <v>36</v>
      </c>
      <c r="C71" s="11" t="s">
        <v>187</v>
      </c>
      <c r="D71" s="11" t="s">
        <v>188</v>
      </c>
      <c r="E71" s="11" t="s">
        <v>19</v>
      </c>
      <c r="F71" s="12">
        <v>46071</v>
      </c>
      <c r="G71" s="12">
        <v>46098</v>
      </c>
      <c r="H71" s="12">
        <v>45959</v>
      </c>
      <c r="I71" s="12">
        <v>45961</v>
      </c>
      <c r="J71" s="12">
        <v>46154</v>
      </c>
      <c r="K71" s="3" t="str">
        <f t="shared" ca="1" si="3"/>
        <v>Not Eligible</v>
      </c>
      <c r="L71" s="27">
        <f t="shared" ca="1" si="4"/>
        <v>9</v>
      </c>
      <c r="M71" s="12"/>
    </row>
    <row r="72" spans="1:13" ht="14.45">
      <c r="A72" s="14">
        <v>71</v>
      </c>
      <c r="B72" s="10" t="s">
        <v>30</v>
      </c>
      <c r="C72" s="11" t="s">
        <v>189</v>
      </c>
      <c r="D72" s="11" t="s">
        <v>190</v>
      </c>
      <c r="E72" s="11" t="s">
        <v>19</v>
      </c>
      <c r="F72" s="12">
        <v>46077</v>
      </c>
      <c r="G72" s="12">
        <v>46093</v>
      </c>
      <c r="H72" s="12">
        <v>45995</v>
      </c>
      <c r="I72" s="12">
        <v>46001</v>
      </c>
      <c r="J72" s="12"/>
      <c r="K72" s="3" t="str">
        <f t="shared" ca="1" si="3"/>
        <v>Eligible</v>
      </c>
      <c r="L72" s="27">
        <f t="shared" ca="1" si="4"/>
        <v>70</v>
      </c>
      <c r="M72" s="12"/>
    </row>
    <row r="73" spans="1:13" ht="14.45">
      <c r="A73" s="10">
        <v>72</v>
      </c>
      <c r="B73" s="10" t="s">
        <v>41</v>
      </c>
      <c r="C73" s="11" t="s">
        <v>191</v>
      </c>
      <c r="D73" s="11" t="s">
        <v>192</v>
      </c>
      <c r="E73" s="11" t="s">
        <v>15</v>
      </c>
      <c r="F73" s="12">
        <v>46063</v>
      </c>
      <c r="G73" s="12">
        <v>46085</v>
      </c>
      <c r="H73" s="12">
        <v>45910</v>
      </c>
      <c r="I73" s="12">
        <v>45958</v>
      </c>
      <c r="J73" s="12">
        <v>46135</v>
      </c>
      <c r="K73" s="3" t="str">
        <f t="shared" ca="1" si="3"/>
        <v>Not Eligible</v>
      </c>
      <c r="L73" s="27">
        <f t="shared" ca="1" si="4"/>
        <v>28</v>
      </c>
      <c r="M73" s="12"/>
    </row>
    <row r="74" spans="1:13" ht="14.45">
      <c r="A74" s="14">
        <v>73</v>
      </c>
      <c r="B74" s="10" t="s">
        <v>36</v>
      </c>
      <c r="C74" s="11" t="s">
        <v>193</v>
      </c>
      <c r="D74" s="11" t="s">
        <v>194</v>
      </c>
      <c r="E74" s="11" t="s">
        <v>19</v>
      </c>
      <c r="F74" s="12"/>
      <c r="G74" s="12">
        <v>46106</v>
      </c>
      <c r="H74" s="12">
        <v>45974</v>
      </c>
      <c r="I74" s="12">
        <v>46006</v>
      </c>
      <c r="J74" s="12"/>
      <c r="K74" s="3" t="str">
        <f t="shared" ca="1" si="3"/>
        <v>Not Eligible</v>
      </c>
      <c r="L74" s="27">
        <f t="shared" ca="1" si="4"/>
        <v>57</v>
      </c>
      <c r="M74" s="12"/>
    </row>
    <row r="75" spans="1:13" ht="14.45">
      <c r="A75" s="10">
        <v>74</v>
      </c>
      <c r="B75" s="10" t="s">
        <v>36</v>
      </c>
      <c r="C75" s="11" t="s">
        <v>195</v>
      </c>
      <c r="D75" s="11" t="s">
        <v>196</v>
      </c>
      <c r="E75" s="11" t="s">
        <v>19</v>
      </c>
      <c r="F75" s="12"/>
      <c r="G75" s="12"/>
      <c r="H75" s="12"/>
      <c r="I75" s="12"/>
      <c r="J75" s="12"/>
      <c r="K75" s="3" t="str">
        <f t="shared" ca="1" si="3"/>
        <v>No Training Done</v>
      </c>
      <c r="L75" s="27">
        <f t="shared" ca="1" si="4"/>
        <v>0</v>
      </c>
      <c r="M75" s="12" t="s">
        <v>96</v>
      </c>
    </row>
    <row r="76" spans="1:13" ht="14.45">
      <c r="A76" s="14">
        <v>75</v>
      </c>
      <c r="B76" s="10" t="s">
        <v>33</v>
      </c>
      <c r="C76" s="11" t="s">
        <v>197</v>
      </c>
      <c r="D76" s="11" t="s">
        <v>198</v>
      </c>
      <c r="E76" s="11" t="s">
        <v>19</v>
      </c>
      <c r="F76" s="12">
        <v>46071</v>
      </c>
      <c r="G76" s="12"/>
      <c r="H76" s="12">
        <v>45923</v>
      </c>
      <c r="I76" s="12">
        <v>45958</v>
      </c>
      <c r="J76" s="12"/>
      <c r="K76" s="3" t="str">
        <f t="shared" ca="1" si="3"/>
        <v>Eligible</v>
      </c>
      <c r="L76" s="27">
        <f t="shared" ca="1" si="4"/>
        <v>92</v>
      </c>
      <c r="M76" s="12"/>
    </row>
    <row r="77" spans="1:13" ht="14.45">
      <c r="A77" s="10">
        <v>76</v>
      </c>
      <c r="B77" s="10" t="s">
        <v>12</v>
      </c>
      <c r="C77" s="11" t="s">
        <v>199</v>
      </c>
      <c r="D77" s="11" t="s">
        <v>200</v>
      </c>
      <c r="E77" s="11" t="s">
        <v>19</v>
      </c>
      <c r="F77" s="12"/>
      <c r="G77" s="12"/>
      <c r="H77" s="12"/>
      <c r="I77" s="12"/>
      <c r="J77" s="12"/>
      <c r="K77" s="3" t="str">
        <f t="shared" ca="1" si="3"/>
        <v>No Training Done</v>
      </c>
      <c r="L77" s="27">
        <f t="shared" ca="1" si="4"/>
        <v>0</v>
      </c>
      <c r="M77" s="12"/>
    </row>
    <row r="78" spans="1:13" ht="14.45">
      <c r="A78" s="14">
        <v>77</v>
      </c>
      <c r="B78" s="10" t="s">
        <v>40</v>
      </c>
      <c r="C78" s="11" t="s">
        <v>201</v>
      </c>
      <c r="D78" s="11" t="s">
        <v>202</v>
      </c>
      <c r="E78" s="11" t="s">
        <v>64</v>
      </c>
      <c r="F78" s="12"/>
      <c r="G78" s="12"/>
      <c r="H78" s="12">
        <v>45966</v>
      </c>
      <c r="I78" s="12"/>
      <c r="J78" s="12">
        <v>46139</v>
      </c>
      <c r="K78" s="3" t="str">
        <f t="shared" ca="1" si="3"/>
        <v>Not Eligible</v>
      </c>
      <c r="L78" s="27">
        <f t="shared" ca="1" si="4"/>
        <v>24</v>
      </c>
      <c r="M78" s="12"/>
    </row>
    <row r="79" spans="1:13" ht="14.45">
      <c r="A79" s="10">
        <v>78</v>
      </c>
      <c r="B79" s="10" t="s">
        <v>30</v>
      </c>
      <c r="C79" s="11" t="s">
        <v>203</v>
      </c>
      <c r="D79" s="11" t="s">
        <v>204</v>
      </c>
      <c r="E79" s="11" t="s">
        <v>57</v>
      </c>
      <c r="F79" s="12">
        <v>46050</v>
      </c>
      <c r="G79" s="12">
        <v>46083</v>
      </c>
      <c r="H79" s="12">
        <v>45959</v>
      </c>
      <c r="I79" s="12">
        <v>46000</v>
      </c>
      <c r="J79" s="12">
        <v>46132</v>
      </c>
      <c r="K79" s="3" t="str">
        <f t="shared" ca="1" si="3"/>
        <v>Not Eligible</v>
      </c>
      <c r="L79" s="27">
        <f t="shared" ca="1" si="4"/>
        <v>31</v>
      </c>
      <c r="M79" s="12"/>
    </row>
    <row r="80" spans="1:13">
      <c r="A80" s="14">
        <v>79</v>
      </c>
      <c r="B80" s="10" t="s">
        <v>40</v>
      </c>
      <c r="C80" s="11" t="s">
        <v>205</v>
      </c>
      <c r="D80" s="11" t="s">
        <v>206</v>
      </c>
      <c r="E80" s="11" t="s">
        <v>19</v>
      </c>
      <c r="F80" s="12"/>
      <c r="G80" s="12"/>
      <c r="H80" s="12"/>
      <c r="I80" s="12">
        <v>46007</v>
      </c>
      <c r="J80" s="17">
        <v>46162</v>
      </c>
      <c r="K80" s="3" t="str">
        <f t="shared" ca="1" si="3"/>
        <v>Not Eligible</v>
      </c>
      <c r="L80" s="27">
        <f t="shared" ca="1" si="4"/>
        <v>1</v>
      </c>
      <c r="M80" s="12"/>
    </row>
    <row r="81" spans="1:13" ht="14.45">
      <c r="A81" s="10">
        <v>80</v>
      </c>
      <c r="B81" s="10" t="s">
        <v>41</v>
      </c>
      <c r="C81" s="11" t="s">
        <v>207</v>
      </c>
      <c r="D81" s="11" t="s">
        <v>208</v>
      </c>
      <c r="E81" s="11" t="s">
        <v>19</v>
      </c>
      <c r="F81" s="12">
        <v>46066</v>
      </c>
      <c r="G81" s="12">
        <v>46091</v>
      </c>
      <c r="H81" s="12">
        <v>45923</v>
      </c>
      <c r="I81" s="12">
        <v>45961</v>
      </c>
      <c r="J81" s="12">
        <v>46141</v>
      </c>
      <c r="K81" s="3" t="str">
        <f t="shared" ca="1" si="3"/>
        <v>Not Eligible</v>
      </c>
      <c r="L81" s="27">
        <f t="shared" ca="1" si="4"/>
        <v>22</v>
      </c>
      <c r="M81" s="12"/>
    </row>
    <row r="82" spans="1:13" ht="14.45">
      <c r="A82" s="14">
        <v>81</v>
      </c>
      <c r="B82" s="10" t="s">
        <v>32</v>
      </c>
      <c r="C82" s="11" t="s">
        <v>209</v>
      </c>
      <c r="D82" s="11" t="s">
        <v>210</v>
      </c>
      <c r="E82" s="11" t="s">
        <v>19</v>
      </c>
      <c r="F82" s="12"/>
      <c r="G82" s="12"/>
      <c r="H82" s="12">
        <v>45995</v>
      </c>
      <c r="I82" s="12"/>
      <c r="J82" s="12">
        <v>46148</v>
      </c>
      <c r="K82" s="3" t="str">
        <f t="shared" ca="1" si="3"/>
        <v>Not Eligible</v>
      </c>
      <c r="L82" s="27">
        <f t="shared" ca="1" si="4"/>
        <v>15</v>
      </c>
      <c r="M82" s="12"/>
    </row>
    <row r="83" spans="1:13" ht="14.45">
      <c r="A83" s="10">
        <v>82</v>
      </c>
      <c r="B83" s="10" t="s">
        <v>33</v>
      </c>
      <c r="C83" s="11" t="s">
        <v>211</v>
      </c>
      <c r="D83" s="11" t="s">
        <v>212</v>
      </c>
      <c r="E83" s="11" t="s">
        <v>19</v>
      </c>
      <c r="F83" s="12">
        <v>46065</v>
      </c>
      <c r="G83" s="12">
        <v>46091</v>
      </c>
      <c r="H83" s="12">
        <v>45940</v>
      </c>
      <c r="I83" s="12"/>
      <c r="J83" s="12">
        <v>46148</v>
      </c>
      <c r="K83" s="3" t="str">
        <f t="shared" ca="1" si="3"/>
        <v>Not Eligible</v>
      </c>
      <c r="L83" s="27">
        <f t="shared" ca="1" si="4"/>
        <v>15</v>
      </c>
      <c r="M83" s="12"/>
    </row>
    <row r="84" spans="1:13" ht="14.45">
      <c r="A84" s="14">
        <v>83</v>
      </c>
      <c r="B84" s="10" t="s">
        <v>30</v>
      </c>
      <c r="C84" s="11" t="s">
        <v>213</v>
      </c>
      <c r="D84" s="11" t="s">
        <v>214</v>
      </c>
      <c r="E84" s="11" t="s">
        <v>57</v>
      </c>
      <c r="F84" s="12">
        <v>46064</v>
      </c>
      <c r="G84" s="12">
        <v>46092</v>
      </c>
      <c r="H84" s="12"/>
      <c r="I84" s="12"/>
      <c r="J84" s="12">
        <v>46139</v>
      </c>
      <c r="K84" s="3" t="str">
        <f t="shared" ca="1" si="3"/>
        <v>Not Eligible</v>
      </c>
      <c r="L84" s="27">
        <f t="shared" ca="1" si="4"/>
        <v>24</v>
      </c>
      <c r="M84" s="12"/>
    </row>
    <row r="85" spans="1:13" ht="14.45">
      <c r="A85" s="10">
        <v>84</v>
      </c>
      <c r="B85" s="10" t="s">
        <v>40</v>
      </c>
      <c r="C85" s="11" t="s">
        <v>215</v>
      </c>
      <c r="D85" s="11" t="s">
        <v>216</v>
      </c>
      <c r="E85" s="11" t="s">
        <v>19</v>
      </c>
      <c r="F85" s="12"/>
      <c r="G85" s="12"/>
      <c r="H85" s="12">
        <v>45930</v>
      </c>
      <c r="I85" s="12">
        <v>45994</v>
      </c>
      <c r="J85" s="12">
        <v>46140</v>
      </c>
      <c r="K85" s="3" t="str">
        <f t="shared" ca="1" si="3"/>
        <v>Not Eligible</v>
      </c>
      <c r="L85" s="27">
        <f t="shared" ca="1" si="4"/>
        <v>23</v>
      </c>
      <c r="M85" s="12"/>
    </row>
    <row r="86" spans="1:13" ht="14.45">
      <c r="A86" s="14">
        <v>85</v>
      </c>
      <c r="B86" s="10" t="s">
        <v>36</v>
      </c>
      <c r="C86" s="11" t="s">
        <v>217</v>
      </c>
      <c r="D86" s="11" t="s">
        <v>218</v>
      </c>
      <c r="E86" s="11" t="s">
        <v>19</v>
      </c>
      <c r="F86" s="12">
        <v>46066</v>
      </c>
      <c r="G86" s="12"/>
      <c r="H86" s="12">
        <v>45959</v>
      </c>
      <c r="I86" s="12">
        <v>45965</v>
      </c>
      <c r="J86" s="12">
        <v>46140</v>
      </c>
      <c r="K86" s="3" t="str">
        <f t="shared" ca="1" si="3"/>
        <v>Not Eligible</v>
      </c>
      <c r="L86" s="27">
        <f t="shared" ca="1" si="4"/>
        <v>23</v>
      </c>
      <c r="M86" s="12"/>
    </row>
    <row r="87" spans="1:13" ht="14.45">
      <c r="A87" s="10">
        <v>86</v>
      </c>
      <c r="B87" s="10" t="s">
        <v>36</v>
      </c>
      <c r="C87" s="11" t="s">
        <v>219</v>
      </c>
      <c r="D87" s="11" t="s">
        <v>220</v>
      </c>
      <c r="E87" s="11" t="s">
        <v>19</v>
      </c>
      <c r="F87" s="12"/>
      <c r="G87" s="12">
        <v>46086</v>
      </c>
      <c r="H87" s="12"/>
      <c r="I87" s="12"/>
      <c r="J87" s="12">
        <v>46135</v>
      </c>
      <c r="K87" s="3" t="str">
        <f t="shared" ca="1" si="3"/>
        <v>Not Eligible</v>
      </c>
      <c r="L87" s="27">
        <f t="shared" ca="1" si="4"/>
        <v>28</v>
      </c>
      <c r="M87" s="12"/>
    </row>
    <row r="88" spans="1:13" ht="14.45">
      <c r="A88" s="14">
        <v>87</v>
      </c>
      <c r="B88" s="10" t="s">
        <v>36</v>
      </c>
      <c r="C88" s="11" t="s">
        <v>221</v>
      </c>
      <c r="D88" s="11" t="s">
        <v>222</v>
      </c>
      <c r="E88" s="11" t="s">
        <v>19</v>
      </c>
      <c r="F88" s="12">
        <v>46057</v>
      </c>
      <c r="G88" s="12">
        <v>46105</v>
      </c>
      <c r="H88" s="12">
        <v>45974</v>
      </c>
      <c r="I88" s="12">
        <v>45994</v>
      </c>
      <c r="J88" s="12">
        <v>46153</v>
      </c>
      <c r="K88" s="3" t="str">
        <f t="shared" ca="1" si="3"/>
        <v>Not Eligible</v>
      </c>
      <c r="L88" s="27">
        <f t="shared" ca="1" si="4"/>
        <v>10</v>
      </c>
      <c r="M88" s="12"/>
    </row>
    <row r="89" spans="1:13" ht="14.45">
      <c r="A89" s="10">
        <v>88</v>
      </c>
      <c r="B89" s="10" t="s">
        <v>30</v>
      </c>
      <c r="C89" s="11" t="s">
        <v>223</v>
      </c>
      <c r="D89" s="11" t="s">
        <v>224</v>
      </c>
      <c r="E89" s="11" t="s">
        <v>57</v>
      </c>
      <c r="F89" s="12">
        <v>46057</v>
      </c>
      <c r="G89" s="12">
        <v>46083</v>
      </c>
      <c r="H89" s="12">
        <v>45931</v>
      </c>
      <c r="I89" s="12"/>
      <c r="J89" s="12">
        <v>46140</v>
      </c>
      <c r="K89" s="3" t="str">
        <f t="shared" ca="1" si="3"/>
        <v>Not Eligible</v>
      </c>
      <c r="L89" s="27">
        <f t="shared" ca="1" si="4"/>
        <v>23</v>
      </c>
      <c r="M89" s="12"/>
    </row>
    <row r="90" spans="1:13" ht="14.45">
      <c r="A90" s="14">
        <v>89</v>
      </c>
      <c r="B90" s="10" t="s">
        <v>41</v>
      </c>
      <c r="C90" s="11" t="s">
        <v>225</v>
      </c>
      <c r="D90" s="11" t="s">
        <v>226</v>
      </c>
      <c r="E90" s="11" t="s">
        <v>19</v>
      </c>
      <c r="F90" s="12"/>
      <c r="G90" s="12"/>
      <c r="H90" s="12">
        <v>45995</v>
      </c>
      <c r="I90" s="12">
        <v>46006</v>
      </c>
      <c r="J90" s="12">
        <v>46154</v>
      </c>
      <c r="K90" s="3" t="str">
        <f t="shared" ca="1" si="3"/>
        <v>Not Eligible</v>
      </c>
      <c r="L90" s="27">
        <f t="shared" ca="1" si="4"/>
        <v>9</v>
      </c>
      <c r="M90" s="12"/>
    </row>
    <row r="91" spans="1:13" ht="14.45">
      <c r="A91" s="10">
        <v>90</v>
      </c>
      <c r="B91" s="10" t="s">
        <v>28</v>
      </c>
      <c r="C91" s="11" t="s">
        <v>227</v>
      </c>
      <c r="D91" s="11" t="s">
        <v>228</v>
      </c>
      <c r="E91" s="11" t="s">
        <v>19</v>
      </c>
      <c r="F91" s="12"/>
      <c r="G91" s="12">
        <v>46099</v>
      </c>
      <c r="H91" s="12"/>
      <c r="I91" s="12"/>
      <c r="J91" s="12"/>
      <c r="K91" s="3" t="str">
        <f t="shared" ca="1" si="3"/>
        <v>Eligible</v>
      </c>
      <c r="L91" s="27">
        <f t="shared" ca="1" si="4"/>
        <v>64</v>
      </c>
      <c r="M91" s="12"/>
    </row>
    <row r="92" spans="1:13" ht="14.45">
      <c r="A92" s="14">
        <v>91</v>
      </c>
      <c r="B92" s="10" t="s">
        <v>30</v>
      </c>
      <c r="C92" s="11" t="s">
        <v>229</v>
      </c>
      <c r="D92" s="11" t="s">
        <v>230</v>
      </c>
      <c r="E92" s="11" t="s">
        <v>57</v>
      </c>
      <c r="F92" s="12">
        <v>46065</v>
      </c>
      <c r="G92" s="12">
        <v>46091</v>
      </c>
      <c r="H92" s="12">
        <v>45930</v>
      </c>
      <c r="I92" s="12"/>
      <c r="J92" s="12">
        <v>46139</v>
      </c>
      <c r="K92" s="3" t="str">
        <f t="shared" ca="1" si="3"/>
        <v>Not Eligible</v>
      </c>
      <c r="L92" s="27">
        <f t="shared" ca="1" si="4"/>
        <v>24</v>
      </c>
      <c r="M92" s="12"/>
    </row>
    <row r="93" spans="1:13" ht="14.45">
      <c r="A93" s="10">
        <v>92</v>
      </c>
      <c r="B93" s="10" t="s">
        <v>36</v>
      </c>
      <c r="C93" s="11" t="s">
        <v>231</v>
      </c>
      <c r="D93" s="11" t="s">
        <v>232</v>
      </c>
      <c r="E93" s="11" t="s">
        <v>19</v>
      </c>
      <c r="F93" s="12">
        <v>46049</v>
      </c>
      <c r="G93" s="12">
        <v>46098</v>
      </c>
      <c r="H93" s="12">
        <v>45959</v>
      </c>
      <c r="I93" s="12">
        <v>45961</v>
      </c>
      <c r="J93" s="12">
        <v>46154</v>
      </c>
      <c r="K93" s="3" t="str">
        <f t="shared" ca="1" si="3"/>
        <v>Not Eligible</v>
      </c>
      <c r="L93" s="27">
        <f t="shared" ca="1" si="4"/>
        <v>9</v>
      </c>
      <c r="M93" s="12"/>
    </row>
    <row r="94" spans="1:13" ht="14.45">
      <c r="A94" s="14">
        <v>93</v>
      </c>
      <c r="B94" s="10" t="s">
        <v>32</v>
      </c>
      <c r="C94" s="11" t="s">
        <v>233</v>
      </c>
      <c r="D94" s="11" t="s">
        <v>234</v>
      </c>
      <c r="E94" s="11" t="s">
        <v>19</v>
      </c>
      <c r="F94" s="12"/>
      <c r="G94" s="12"/>
      <c r="H94" s="12">
        <v>45910</v>
      </c>
      <c r="I94" s="12">
        <v>45961</v>
      </c>
      <c r="J94" s="12"/>
      <c r="K94" s="3" t="str">
        <f t="shared" ca="1" si="3"/>
        <v>Eligible</v>
      </c>
      <c r="L94" s="27">
        <f t="shared" ca="1" si="4"/>
        <v>202</v>
      </c>
      <c r="M94" s="12" t="s">
        <v>96</v>
      </c>
    </row>
    <row r="95" spans="1:13" ht="14.45">
      <c r="A95" s="10">
        <v>94</v>
      </c>
      <c r="B95" s="10" t="s">
        <v>12</v>
      </c>
      <c r="C95" s="11" t="s">
        <v>235</v>
      </c>
      <c r="D95" s="11" t="s">
        <v>236</v>
      </c>
      <c r="E95" s="11" t="s">
        <v>15</v>
      </c>
      <c r="F95" s="12">
        <v>46062</v>
      </c>
      <c r="G95" s="12">
        <v>46106</v>
      </c>
      <c r="H95" s="12"/>
      <c r="I95" s="12">
        <v>45994</v>
      </c>
      <c r="J95" s="12">
        <v>46135</v>
      </c>
      <c r="K95" s="3" t="str">
        <f t="shared" ca="1" si="3"/>
        <v>Not Eligible</v>
      </c>
      <c r="L95" s="27">
        <f t="shared" ca="1" si="4"/>
        <v>28</v>
      </c>
      <c r="M95" s="12"/>
    </row>
    <row r="96" spans="1:13" ht="14.45">
      <c r="A96" s="14">
        <v>95</v>
      </c>
      <c r="B96" s="10" t="s">
        <v>28</v>
      </c>
      <c r="C96" s="11" t="s">
        <v>237</v>
      </c>
      <c r="D96" s="11" t="s">
        <v>238</v>
      </c>
      <c r="E96" s="11" t="s">
        <v>19</v>
      </c>
      <c r="F96" s="12"/>
      <c r="G96" s="12">
        <v>46092</v>
      </c>
      <c r="H96" s="12">
        <v>45923</v>
      </c>
      <c r="I96" s="12"/>
      <c r="J96" s="12">
        <v>46139</v>
      </c>
      <c r="K96" s="3" t="str">
        <f t="shared" ca="1" si="3"/>
        <v>Not Eligible</v>
      </c>
      <c r="L96" s="27">
        <f t="shared" ca="1" si="4"/>
        <v>24</v>
      </c>
      <c r="M96" s="12"/>
    </row>
    <row r="97" spans="1:13" ht="14.45">
      <c r="A97" s="10">
        <v>96</v>
      </c>
      <c r="B97" s="10" t="s">
        <v>30</v>
      </c>
      <c r="C97" s="11" t="s">
        <v>239</v>
      </c>
      <c r="D97" s="11" t="s">
        <v>240</v>
      </c>
      <c r="E97" s="11" t="s">
        <v>19</v>
      </c>
      <c r="F97" s="12">
        <v>46066</v>
      </c>
      <c r="G97" s="12">
        <v>46098</v>
      </c>
      <c r="H97" s="12">
        <v>45930</v>
      </c>
      <c r="I97" s="12">
        <v>46000</v>
      </c>
      <c r="J97" s="12"/>
      <c r="K97" s="3" t="str">
        <f t="shared" ca="1" si="3"/>
        <v>Eligible</v>
      </c>
      <c r="L97" s="27">
        <f t="shared" ca="1" si="4"/>
        <v>65</v>
      </c>
      <c r="M97" s="12"/>
    </row>
    <row r="98" spans="1:13" ht="14.45">
      <c r="A98" s="14">
        <v>97</v>
      </c>
      <c r="B98" s="10" t="s">
        <v>32</v>
      </c>
      <c r="C98" s="11" t="s">
        <v>241</v>
      </c>
      <c r="D98" s="11" t="s">
        <v>242</v>
      </c>
      <c r="E98" s="11" t="s">
        <v>19</v>
      </c>
      <c r="F98" s="12"/>
      <c r="G98" s="12"/>
      <c r="H98" s="12"/>
      <c r="I98" s="12"/>
      <c r="J98" s="12"/>
      <c r="K98" s="3" t="str">
        <f t="shared" ref="K98:K129" ca="1" si="5">IF(COUNT(F98,G98,H98,I98,J98)=0,"No Training Done",IF(TODAY()&lt; MAX(F98,G98,H98,I98,J98)+60,"Not Eligible","Eligible"))</f>
        <v>No Training Done</v>
      </c>
      <c r="L98" s="27">
        <f t="shared" ca="1" si="4"/>
        <v>0</v>
      </c>
      <c r="M98" s="12" t="s">
        <v>96</v>
      </c>
    </row>
    <row r="99" spans="1:13" ht="14.45">
      <c r="A99" s="10">
        <v>98</v>
      </c>
      <c r="B99" s="10" t="s">
        <v>41</v>
      </c>
      <c r="C99" s="11" t="s">
        <v>243</v>
      </c>
      <c r="D99" s="11" t="s">
        <v>244</v>
      </c>
      <c r="E99" s="11" t="s">
        <v>19</v>
      </c>
      <c r="F99" s="12">
        <v>46057</v>
      </c>
      <c r="G99" s="12">
        <v>46086</v>
      </c>
      <c r="H99" s="12">
        <v>45919</v>
      </c>
      <c r="I99" s="12">
        <v>45961</v>
      </c>
      <c r="J99" s="12">
        <v>46148</v>
      </c>
      <c r="K99" s="3" t="str">
        <f t="shared" ca="1" si="5"/>
        <v>Not Eligible</v>
      </c>
      <c r="L99" s="27">
        <f t="shared" ca="1" si="4"/>
        <v>15</v>
      </c>
      <c r="M99" s="12"/>
    </row>
    <row r="100" spans="1:13" ht="14.45">
      <c r="A100" s="14">
        <v>99</v>
      </c>
      <c r="B100" s="10" t="s">
        <v>40</v>
      </c>
      <c r="C100" s="11" t="s">
        <v>245</v>
      </c>
      <c r="D100" s="11" t="s">
        <v>246</v>
      </c>
      <c r="E100" s="11" t="s">
        <v>19</v>
      </c>
      <c r="F100" s="12"/>
      <c r="G100" s="12"/>
      <c r="H100" s="12">
        <v>45974</v>
      </c>
      <c r="I100" s="12"/>
      <c r="J100" s="12">
        <v>46141</v>
      </c>
      <c r="K100" s="3" t="str">
        <f t="shared" ca="1" si="5"/>
        <v>Not Eligible</v>
      </c>
      <c r="L100" s="27">
        <f t="shared" ca="1" si="4"/>
        <v>22</v>
      </c>
      <c r="M100" s="12"/>
    </row>
    <row r="101" spans="1:13" ht="14.45">
      <c r="A101" s="10">
        <v>100</v>
      </c>
      <c r="B101" s="10" t="s">
        <v>33</v>
      </c>
      <c r="C101" s="11" t="s">
        <v>247</v>
      </c>
      <c r="D101" s="11" t="s">
        <v>248</v>
      </c>
      <c r="E101" s="11" t="s">
        <v>19</v>
      </c>
      <c r="F101" s="12">
        <v>46062</v>
      </c>
      <c r="G101" s="12"/>
      <c r="H101" s="12">
        <v>45943</v>
      </c>
      <c r="I101" s="12"/>
      <c r="J101" s="12"/>
      <c r="K101" s="3" t="str">
        <f t="shared" ca="1" si="5"/>
        <v>Eligible</v>
      </c>
      <c r="L101" s="27">
        <f t="shared" ca="1" si="4"/>
        <v>101</v>
      </c>
      <c r="M101" s="12" t="s">
        <v>96</v>
      </c>
    </row>
    <row r="102" spans="1:13">
      <c r="A102" s="14">
        <v>101</v>
      </c>
      <c r="B102" s="10" t="s">
        <v>40</v>
      </c>
      <c r="C102" s="11" t="s">
        <v>249</v>
      </c>
      <c r="D102" s="11" t="s">
        <v>250</v>
      </c>
      <c r="E102" s="11" t="s">
        <v>19</v>
      </c>
      <c r="F102" s="12"/>
      <c r="G102" s="12"/>
      <c r="H102" s="12">
        <v>45910</v>
      </c>
      <c r="I102" s="12">
        <v>45971</v>
      </c>
      <c r="J102" s="17">
        <v>46162</v>
      </c>
      <c r="K102" s="3" t="str">
        <f t="shared" ca="1" si="5"/>
        <v>Not Eligible</v>
      </c>
      <c r="L102" s="27">
        <f t="shared" ca="1" si="4"/>
        <v>1</v>
      </c>
      <c r="M102" s="12"/>
    </row>
    <row r="103" spans="1:13" ht="14.45">
      <c r="A103" s="10">
        <v>102</v>
      </c>
      <c r="B103" s="10" t="s">
        <v>32</v>
      </c>
      <c r="C103" s="11" t="s">
        <v>251</v>
      </c>
      <c r="D103" s="11" t="s">
        <v>252</v>
      </c>
      <c r="E103" s="11" t="s">
        <v>19</v>
      </c>
      <c r="F103" s="12"/>
      <c r="G103" s="12"/>
      <c r="H103" s="12"/>
      <c r="I103" s="12"/>
      <c r="J103" s="12"/>
      <c r="K103" s="3" t="str">
        <f t="shared" ca="1" si="5"/>
        <v>No Training Done</v>
      </c>
      <c r="L103" s="27">
        <f t="shared" ca="1" si="4"/>
        <v>0</v>
      </c>
      <c r="M103" s="12" t="s">
        <v>96</v>
      </c>
    </row>
    <row r="104" spans="1:13" ht="14.45">
      <c r="A104" s="14">
        <v>103</v>
      </c>
      <c r="B104" s="10" t="s">
        <v>33</v>
      </c>
      <c r="C104" s="11" t="s">
        <v>253</v>
      </c>
      <c r="D104" s="11" t="s">
        <v>254</v>
      </c>
      <c r="E104" s="11" t="s">
        <v>19</v>
      </c>
      <c r="F104" s="12">
        <v>46076</v>
      </c>
      <c r="G104" s="12"/>
      <c r="H104" s="12">
        <v>45959</v>
      </c>
      <c r="I104" s="12"/>
      <c r="J104" s="12"/>
      <c r="K104" s="3" t="str">
        <f t="shared" ca="1" si="5"/>
        <v>Eligible</v>
      </c>
      <c r="L104" s="27">
        <f t="shared" ca="1" si="4"/>
        <v>87</v>
      </c>
      <c r="M104" s="12"/>
    </row>
    <row r="105" spans="1:13" ht="14.45">
      <c r="A105" s="10">
        <v>104</v>
      </c>
      <c r="B105" s="10" t="s">
        <v>30</v>
      </c>
      <c r="C105" s="11" t="s">
        <v>255</v>
      </c>
      <c r="D105" s="11" t="s">
        <v>256</v>
      </c>
      <c r="E105" s="11" t="s">
        <v>19</v>
      </c>
      <c r="F105" s="12">
        <v>46063</v>
      </c>
      <c r="G105" s="12">
        <v>46092</v>
      </c>
      <c r="H105" s="12">
        <v>45923</v>
      </c>
      <c r="I105" s="12"/>
      <c r="J105" s="12"/>
      <c r="K105" s="3" t="str">
        <f t="shared" ca="1" si="5"/>
        <v>Eligible</v>
      </c>
      <c r="L105" s="27">
        <f t="shared" ca="1" si="4"/>
        <v>71</v>
      </c>
      <c r="M105" s="12"/>
    </row>
    <row r="106" spans="1:13" ht="14.45">
      <c r="A106" s="14">
        <v>105</v>
      </c>
      <c r="B106" s="10" t="s">
        <v>30</v>
      </c>
      <c r="C106" s="11" t="s">
        <v>257</v>
      </c>
      <c r="D106" s="11" t="s">
        <v>258</v>
      </c>
      <c r="E106" s="11" t="s">
        <v>19</v>
      </c>
      <c r="F106" s="12">
        <v>46076</v>
      </c>
      <c r="G106" s="12">
        <v>46093</v>
      </c>
      <c r="H106" s="12">
        <v>45930</v>
      </c>
      <c r="I106" s="12">
        <v>46006</v>
      </c>
      <c r="J106" s="12"/>
      <c r="K106" s="3" t="str">
        <f t="shared" ca="1" si="5"/>
        <v>Eligible</v>
      </c>
      <c r="L106" s="27">
        <f t="shared" ca="1" si="4"/>
        <v>70</v>
      </c>
      <c r="M106" s="12"/>
    </row>
    <row r="107" spans="1:13" ht="14.45">
      <c r="A107" s="10">
        <v>106</v>
      </c>
      <c r="B107" s="10" t="s">
        <v>41</v>
      </c>
      <c r="C107" s="11" t="s">
        <v>259</v>
      </c>
      <c r="D107" s="11" t="s">
        <v>260</v>
      </c>
      <c r="E107" s="11" t="s">
        <v>19</v>
      </c>
      <c r="F107" s="12"/>
      <c r="G107" s="12">
        <v>46099</v>
      </c>
      <c r="H107" s="12"/>
      <c r="I107" s="12"/>
      <c r="J107" s="12"/>
      <c r="K107" s="3" t="str">
        <f t="shared" ca="1" si="5"/>
        <v>Eligible</v>
      </c>
      <c r="L107" s="27">
        <f t="shared" ca="1" si="4"/>
        <v>64</v>
      </c>
      <c r="M107" s="12"/>
    </row>
    <row r="108" spans="1:13" ht="14.45">
      <c r="A108" s="14">
        <v>107</v>
      </c>
      <c r="B108" s="10" t="s">
        <v>29</v>
      </c>
      <c r="C108" s="11" t="s">
        <v>261</v>
      </c>
      <c r="D108" s="11" t="s">
        <v>262</v>
      </c>
      <c r="E108" s="11" t="s">
        <v>19</v>
      </c>
      <c r="F108" s="12">
        <v>46049</v>
      </c>
      <c r="G108" s="12">
        <v>46092</v>
      </c>
      <c r="H108" s="12">
        <v>45974</v>
      </c>
      <c r="I108" s="12">
        <v>46000</v>
      </c>
      <c r="J108" s="12">
        <v>46141</v>
      </c>
      <c r="K108" s="3" t="str">
        <f t="shared" ca="1" si="5"/>
        <v>Not Eligible</v>
      </c>
      <c r="L108" s="27">
        <f t="shared" ca="1" si="4"/>
        <v>22</v>
      </c>
      <c r="M108" s="12"/>
    </row>
    <row r="109" spans="1:13" ht="14.45">
      <c r="A109" s="10">
        <v>108</v>
      </c>
      <c r="B109" s="10" t="s">
        <v>32</v>
      </c>
      <c r="C109" s="11" t="s">
        <v>263</v>
      </c>
      <c r="D109" s="11" t="s">
        <v>264</v>
      </c>
      <c r="E109" s="11" t="s">
        <v>19</v>
      </c>
      <c r="F109" s="12"/>
      <c r="G109" s="12"/>
      <c r="H109" s="12">
        <v>45924</v>
      </c>
      <c r="I109" s="12">
        <v>46000</v>
      </c>
      <c r="J109" s="12"/>
      <c r="K109" s="3" t="str">
        <f t="shared" ca="1" si="5"/>
        <v>Eligible</v>
      </c>
      <c r="L109" s="27">
        <f t="shared" ca="1" si="4"/>
        <v>163</v>
      </c>
      <c r="M109" s="12" t="s">
        <v>96</v>
      </c>
    </row>
    <row r="110" spans="1:13" ht="14.45">
      <c r="A110" s="14">
        <v>109</v>
      </c>
      <c r="B110" s="10" t="s">
        <v>32</v>
      </c>
      <c r="C110" s="11" t="s">
        <v>265</v>
      </c>
      <c r="D110" s="11" t="s">
        <v>266</v>
      </c>
      <c r="E110" s="11" t="s">
        <v>64</v>
      </c>
      <c r="F110" s="12"/>
      <c r="G110" s="12"/>
      <c r="H110" s="12">
        <v>45931</v>
      </c>
      <c r="I110" s="12">
        <v>45958</v>
      </c>
      <c r="J110" s="12"/>
      <c r="K110" s="3" t="str">
        <f t="shared" ca="1" si="5"/>
        <v>Eligible</v>
      </c>
      <c r="L110" s="27">
        <f t="shared" ca="1" si="4"/>
        <v>205</v>
      </c>
      <c r="M110" s="12" t="s">
        <v>96</v>
      </c>
    </row>
    <row r="111" spans="1:13" ht="14.45">
      <c r="A111" s="10">
        <v>110</v>
      </c>
      <c r="B111" s="10" t="s">
        <v>38</v>
      </c>
      <c r="C111" s="11" t="s">
        <v>267</v>
      </c>
      <c r="D111" s="11" t="s">
        <v>268</v>
      </c>
      <c r="E111" s="11" t="s">
        <v>19</v>
      </c>
      <c r="F111" s="12"/>
      <c r="G111" s="12"/>
      <c r="H111" s="12"/>
      <c r="I111" s="12"/>
      <c r="J111" s="12">
        <v>46143</v>
      </c>
      <c r="K111" s="3" t="str">
        <f t="shared" ca="1" si="5"/>
        <v>Not Eligible</v>
      </c>
      <c r="L111" s="27">
        <f t="shared" ca="1" si="4"/>
        <v>20</v>
      </c>
      <c r="M111" s="12"/>
    </row>
    <row r="112" spans="1:13" ht="14.45">
      <c r="A112" s="14">
        <v>111</v>
      </c>
      <c r="B112" s="10" t="s">
        <v>40</v>
      </c>
      <c r="C112" s="11" t="s">
        <v>269</v>
      </c>
      <c r="D112" s="11" t="s">
        <v>270</v>
      </c>
      <c r="E112" s="11" t="s">
        <v>19</v>
      </c>
      <c r="F112" s="12"/>
      <c r="G112" s="12"/>
      <c r="H112" s="12">
        <v>45910</v>
      </c>
      <c r="I112" s="12"/>
      <c r="J112" s="12">
        <v>46140</v>
      </c>
      <c r="K112" s="3" t="str">
        <f t="shared" ca="1" si="5"/>
        <v>Not Eligible</v>
      </c>
      <c r="L112" s="27">
        <f t="shared" ca="1" si="4"/>
        <v>23</v>
      </c>
      <c r="M112" s="12"/>
    </row>
    <row r="113" spans="1:13" ht="14.45">
      <c r="A113" s="10">
        <v>112</v>
      </c>
      <c r="B113" s="10" t="s">
        <v>40</v>
      </c>
      <c r="C113" s="11" t="s">
        <v>271</v>
      </c>
      <c r="D113" s="11" t="s">
        <v>272</v>
      </c>
      <c r="E113" s="11" t="s">
        <v>19</v>
      </c>
      <c r="F113" s="12"/>
      <c r="G113" s="12"/>
      <c r="H113" s="12">
        <v>45931</v>
      </c>
      <c r="I113" s="12">
        <v>45961</v>
      </c>
      <c r="J113" s="12">
        <v>46154</v>
      </c>
      <c r="K113" s="3" t="str">
        <f t="shared" ca="1" si="5"/>
        <v>Not Eligible</v>
      </c>
      <c r="L113" s="27">
        <f t="shared" ca="1" si="4"/>
        <v>9</v>
      </c>
      <c r="M113" s="12"/>
    </row>
    <row r="114" spans="1:13">
      <c r="A114" s="14">
        <v>113</v>
      </c>
      <c r="B114" s="10" t="s">
        <v>40</v>
      </c>
      <c r="C114" s="11" t="s">
        <v>273</v>
      </c>
      <c r="D114" s="11" t="s">
        <v>274</v>
      </c>
      <c r="E114" s="11" t="s">
        <v>19</v>
      </c>
      <c r="F114" s="12"/>
      <c r="G114" s="12"/>
      <c r="H114" s="12"/>
      <c r="I114" s="12"/>
      <c r="J114" s="17">
        <v>46162</v>
      </c>
      <c r="K114" s="3" t="str">
        <f t="shared" ca="1" si="5"/>
        <v>Not Eligible</v>
      </c>
      <c r="L114" s="27">
        <f t="shared" ca="1" si="4"/>
        <v>1</v>
      </c>
      <c r="M114" s="12"/>
    </row>
    <row r="115" spans="1:13" ht="14.45">
      <c r="A115" s="10">
        <v>114</v>
      </c>
      <c r="B115" s="10" t="s">
        <v>41</v>
      </c>
      <c r="C115" s="11" t="s">
        <v>275</v>
      </c>
      <c r="D115" s="11" t="s">
        <v>276</v>
      </c>
      <c r="E115" s="11" t="s">
        <v>19</v>
      </c>
      <c r="F115" s="12"/>
      <c r="G115" s="12"/>
      <c r="H115" s="12"/>
      <c r="I115" s="12"/>
      <c r="J115" s="12">
        <v>46154</v>
      </c>
      <c r="K115" s="3" t="str">
        <f t="shared" ca="1" si="5"/>
        <v>Not Eligible</v>
      </c>
      <c r="L115" s="27">
        <f t="shared" ca="1" si="4"/>
        <v>9</v>
      </c>
      <c r="M115" s="12"/>
    </row>
    <row r="116" spans="1:13" ht="14.45">
      <c r="A116" s="14">
        <v>115</v>
      </c>
      <c r="B116" s="10" t="s">
        <v>30</v>
      </c>
      <c r="C116" s="11" t="s">
        <v>277</v>
      </c>
      <c r="D116" s="11" t="s">
        <v>278</v>
      </c>
      <c r="E116" s="11" t="s">
        <v>57</v>
      </c>
      <c r="F116" s="12">
        <v>46062</v>
      </c>
      <c r="G116" s="12">
        <v>46085</v>
      </c>
      <c r="H116" s="12">
        <v>45923</v>
      </c>
      <c r="I116" s="12"/>
      <c r="J116" s="12">
        <v>46141</v>
      </c>
      <c r="K116" s="3" t="str">
        <f t="shared" ca="1" si="5"/>
        <v>Not Eligible</v>
      </c>
      <c r="L116" s="27">
        <f t="shared" ca="1" si="4"/>
        <v>22</v>
      </c>
      <c r="M116" s="12"/>
    </row>
    <row r="117" spans="1:13" ht="14.45">
      <c r="A117" s="10">
        <v>116</v>
      </c>
      <c r="B117" s="10" t="s">
        <v>30</v>
      </c>
      <c r="C117" s="11" t="s">
        <v>279</v>
      </c>
      <c r="D117" s="11" t="s">
        <v>280</v>
      </c>
      <c r="E117" s="11" t="s">
        <v>57</v>
      </c>
      <c r="F117" s="12">
        <v>46055</v>
      </c>
      <c r="G117" s="12">
        <v>46083</v>
      </c>
      <c r="H117" s="12">
        <v>45995</v>
      </c>
      <c r="I117" s="12"/>
      <c r="J117" s="12">
        <v>46153</v>
      </c>
      <c r="K117" s="3" t="str">
        <f t="shared" ca="1" si="5"/>
        <v>Not Eligible</v>
      </c>
      <c r="L117" s="27">
        <f t="shared" ca="1" si="4"/>
        <v>10</v>
      </c>
      <c r="M117" s="12"/>
    </row>
    <row r="118" spans="1:13" ht="14.45">
      <c r="A118" s="14">
        <v>117</v>
      </c>
      <c r="B118" s="10" t="s">
        <v>30</v>
      </c>
      <c r="C118" s="11" t="s">
        <v>281</v>
      </c>
      <c r="D118" s="11" t="s">
        <v>282</v>
      </c>
      <c r="E118" s="11" t="s">
        <v>19</v>
      </c>
      <c r="F118" s="12">
        <v>46062</v>
      </c>
      <c r="G118" s="12">
        <v>46091</v>
      </c>
      <c r="H118" s="12">
        <v>45919</v>
      </c>
      <c r="I118" s="12">
        <v>45994</v>
      </c>
      <c r="J118" s="12">
        <v>46153</v>
      </c>
      <c r="K118" s="3" t="str">
        <f t="shared" ca="1" si="5"/>
        <v>Not Eligible</v>
      </c>
      <c r="L118" s="27">
        <f t="shared" ca="1" si="4"/>
        <v>10</v>
      </c>
      <c r="M118" s="12"/>
    </row>
    <row r="119" spans="1:13" ht="14.45">
      <c r="A119" s="10">
        <v>118</v>
      </c>
      <c r="B119" s="10" t="s">
        <v>41</v>
      </c>
      <c r="C119" s="11" t="s">
        <v>283</v>
      </c>
      <c r="D119" s="11" t="s">
        <v>284</v>
      </c>
      <c r="E119" s="11" t="s">
        <v>15</v>
      </c>
      <c r="F119" s="12">
        <v>46065</v>
      </c>
      <c r="G119" s="12">
        <v>46086</v>
      </c>
      <c r="H119" s="12">
        <v>45910</v>
      </c>
      <c r="I119" s="12">
        <v>45965</v>
      </c>
      <c r="J119" s="12">
        <v>46132</v>
      </c>
      <c r="K119" s="3" t="str">
        <f t="shared" ca="1" si="5"/>
        <v>Not Eligible</v>
      </c>
      <c r="L119" s="27">
        <f t="shared" ca="1" si="4"/>
        <v>31</v>
      </c>
      <c r="M119" s="12"/>
    </row>
    <row r="120" spans="1:13" ht="14.45">
      <c r="A120" s="14">
        <v>119</v>
      </c>
      <c r="B120" s="10" t="s">
        <v>39</v>
      </c>
      <c r="C120" s="11" t="s">
        <v>285</v>
      </c>
      <c r="D120" s="13" t="s">
        <v>286</v>
      </c>
      <c r="E120" s="13" t="s">
        <v>19</v>
      </c>
      <c r="F120" s="12">
        <v>46066</v>
      </c>
      <c r="G120" s="12"/>
      <c r="H120" s="12">
        <v>45923</v>
      </c>
      <c r="I120" s="12">
        <v>45958</v>
      </c>
      <c r="J120" s="12">
        <v>46133</v>
      </c>
      <c r="K120" s="3" t="str">
        <f t="shared" ca="1" si="5"/>
        <v>Not Eligible</v>
      </c>
      <c r="L120" s="27">
        <f t="shared" ca="1" si="4"/>
        <v>30</v>
      </c>
      <c r="M120" s="12"/>
    </row>
    <row r="121" spans="1:13" ht="14.45">
      <c r="A121" s="10">
        <v>120</v>
      </c>
      <c r="B121" s="10" t="s">
        <v>36</v>
      </c>
      <c r="C121" s="11" t="s">
        <v>287</v>
      </c>
      <c r="D121" s="11" t="s">
        <v>288</v>
      </c>
      <c r="E121" s="11" t="s">
        <v>15</v>
      </c>
      <c r="F121" s="12">
        <v>46051</v>
      </c>
      <c r="G121" s="12">
        <v>46091</v>
      </c>
      <c r="H121" s="12">
        <v>45940</v>
      </c>
      <c r="I121" s="12">
        <v>46000</v>
      </c>
      <c r="J121" s="12">
        <v>46147</v>
      </c>
      <c r="K121" s="3" t="str">
        <f t="shared" ca="1" si="5"/>
        <v>Not Eligible</v>
      </c>
      <c r="L121" s="27">
        <f t="shared" ca="1" si="4"/>
        <v>16</v>
      </c>
      <c r="M121" s="12"/>
    </row>
    <row r="122" spans="1:13" ht="14.45">
      <c r="A122" s="14">
        <v>121</v>
      </c>
      <c r="B122" s="10" t="s">
        <v>41</v>
      </c>
      <c r="C122" s="11" t="s">
        <v>289</v>
      </c>
      <c r="D122" s="11" t="s">
        <v>290</v>
      </c>
      <c r="E122" s="11" t="s">
        <v>19</v>
      </c>
      <c r="F122" s="12"/>
      <c r="G122" s="12"/>
      <c r="H122" s="12">
        <v>45966</v>
      </c>
      <c r="I122" s="12">
        <v>46000</v>
      </c>
      <c r="J122" s="12">
        <v>46154</v>
      </c>
      <c r="K122" s="3" t="str">
        <f t="shared" ca="1" si="5"/>
        <v>Not Eligible</v>
      </c>
      <c r="L122" s="27">
        <f t="shared" ca="1" si="4"/>
        <v>9</v>
      </c>
      <c r="M122" s="12"/>
    </row>
    <row r="123" spans="1:13" ht="14.45">
      <c r="A123" s="10">
        <v>122</v>
      </c>
      <c r="B123" s="10" t="s">
        <v>35</v>
      </c>
      <c r="C123" s="11" t="s">
        <v>291</v>
      </c>
      <c r="D123" s="11" t="s">
        <v>292</v>
      </c>
      <c r="E123" s="11" t="s">
        <v>71</v>
      </c>
      <c r="F123" s="12">
        <v>46057</v>
      </c>
      <c r="G123" s="12"/>
      <c r="H123" s="12">
        <v>45966</v>
      </c>
      <c r="I123" s="12">
        <v>45993</v>
      </c>
      <c r="J123" s="12">
        <v>46133</v>
      </c>
      <c r="K123" s="3" t="str">
        <f t="shared" ca="1" si="5"/>
        <v>Not Eligible</v>
      </c>
      <c r="L123" s="27">
        <f t="shared" ca="1" si="4"/>
        <v>30</v>
      </c>
      <c r="M123" s="12"/>
    </row>
    <row r="124" spans="1:13" ht="14.45">
      <c r="A124" s="14">
        <v>123</v>
      </c>
      <c r="B124" s="10" t="s">
        <v>41</v>
      </c>
      <c r="C124" s="11" t="s">
        <v>293</v>
      </c>
      <c r="D124" s="11" t="s">
        <v>294</v>
      </c>
      <c r="E124" s="11" t="s">
        <v>15</v>
      </c>
      <c r="F124" s="12">
        <v>46077</v>
      </c>
      <c r="G124" s="12">
        <v>46091</v>
      </c>
      <c r="H124" s="12">
        <v>45919</v>
      </c>
      <c r="I124" s="12">
        <v>45965</v>
      </c>
      <c r="J124" s="12">
        <v>46147</v>
      </c>
      <c r="K124" s="3" t="str">
        <f t="shared" ca="1" si="5"/>
        <v>Not Eligible</v>
      </c>
      <c r="L124" s="27">
        <f t="shared" ca="1" si="4"/>
        <v>16</v>
      </c>
      <c r="M124" s="12"/>
    </row>
    <row r="125" spans="1:13" ht="14.45">
      <c r="A125" s="10">
        <v>124</v>
      </c>
      <c r="B125" s="10" t="s">
        <v>33</v>
      </c>
      <c r="C125" s="11" t="s">
        <v>295</v>
      </c>
      <c r="D125" s="11" t="s">
        <v>296</v>
      </c>
      <c r="E125" s="11" t="s">
        <v>19</v>
      </c>
      <c r="F125" s="12">
        <v>46066</v>
      </c>
      <c r="G125" s="12"/>
      <c r="H125" s="12">
        <v>45924</v>
      </c>
      <c r="I125" s="12">
        <v>45961</v>
      </c>
      <c r="J125" s="12">
        <v>46135</v>
      </c>
      <c r="K125" s="3" t="str">
        <f t="shared" ca="1" si="5"/>
        <v>Not Eligible</v>
      </c>
      <c r="L125" s="27">
        <f t="shared" ca="1" si="4"/>
        <v>28</v>
      </c>
      <c r="M125" s="12"/>
    </row>
    <row r="126" spans="1:13" ht="14.45">
      <c r="A126" s="14">
        <v>125</v>
      </c>
      <c r="B126" s="10" t="s">
        <v>35</v>
      </c>
      <c r="C126" s="11" t="s">
        <v>297</v>
      </c>
      <c r="D126" s="11" t="s">
        <v>298</v>
      </c>
      <c r="E126" s="11" t="s">
        <v>71</v>
      </c>
      <c r="F126" s="12"/>
      <c r="G126" s="12"/>
      <c r="H126" s="12"/>
      <c r="I126" s="12"/>
      <c r="J126" s="12">
        <v>46139</v>
      </c>
      <c r="K126" s="3" t="str">
        <f t="shared" ca="1" si="5"/>
        <v>Not Eligible</v>
      </c>
      <c r="L126" s="27">
        <f t="shared" ca="1" si="4"/>
        <v>24</v>
      </c>
      <c r="M126" s="12"/>
    </row>
    <row r="127" spans="1:13" ht="14.45">
      <c r="A127" s="10">
        <v>126</v>
      </c>
      <c r="B127" s="10" t="s">
        <v>30</v>
      </c>
      <c r="C127" s="11" t="s">
        <v>299</v>
      </c>
      <c r="D127" s="11" t="s">
        <v>300</v>
      </c>
      <c r="E127" s="11" t="s">
        <v>57</v>
      </c>
      <c r="F127" s="12">
        <v>46051</v>
      </c>
      <c r="G127" s="12">
        <v>46106</v>
      </c>
      <c r="H127" s="12"/>
      <c r="I127" s="12"/>
      <c r="J127" s="12">
        <v>46148</v>
      </c>
      <c r="K127" s="3" t="str">
        <f t="shared" ca="1" si="5"/>
        <v>Not Eligible</v>
      </c>
      <c r="L127" s="27">
        <f t="shared" ca="1" si="4"/>
        <v>15</v>
      </c>
      <c r="M127" s="12"/>
    </row>
    <row r="128" spans="1:13" ht="14.45">
      <c r="A128" s="14">
        <v>127</v>
      </c>
      <c r="B128" s="10" t="s">
        <v>30</v>
      </c>
      <c r="C128" s="11" t="s">
        <v>301</v>
      </c>
      <c r="D128" s="11" t="s">
        <v>302</v>
      </c>
      <c r="E128" s="11" t="s">
        <v>57</v>
      </c>
      <c r="F128" s="12">
        <v>46063</v>
      </c>
      <c r="G128" s="12">
        <v>46093</v>
      </c>
      <c r="H128" s="12">
        <v>45931</v>
      </c>
      <c r="I128" s="12">
        <v>46000</v>
      </c>
      <c r="J128" s="12">
        <v>46135</v>
      </c>
      <c r="K128" s="3" t="str">
        <f t="shared" ca="1" si="5"/>
        <v>Not Eligible</v>
      </c>
      <c r="L128" s="27">
        <f t="shared" ca="1" si="4"/>
        <v>28</v>
      </c>
      <c r="M128" s="12"/>
    </row>
    <row r="129" spans="1:13" ht="14.45">
      <c r="A129" s="10">
        <v>128</v>
      </c>
      <c r="B129" s="10" t="s">
        <v>99</v>
      </c>
      <c r="C129" s="11" t="s">
        <v>303</v>
      </c>
      <c r="D129" s="11" t="s">
        <v>304</v>
      </c>
      <c r="E129" s="11" t="s">
        <v>19</v>
      </c>
      <c r="F129" s="12">
        <v>46055</v>
      </c>
      <c r="G129" s="12">
        <v>46083</v>
      </c>
      <c r="H129" s="12">
        <v>45910</v>
      </c>
      <c r="I129" s="12">
        <v>45958</v>
      </c>
      <c r="J129" s="12">
        <v>46056</v>
      </c>
      <c r="K129" s="3" t="str">
        <f t="shared" ca="1" si="5"/>
        <v>Eligible</v>
      </c>
      <c r="L129" s="27">
        <f t="shared" ca="1" si="4"/>
        <v>80</v>
      </c>
      <c r="M129" s="12"/>
    </row>
    <row r="130" spans="1:13" ht="14.45">
      <c r="A130" s="14">
        <v>129</v>
      </c>
      <c r="B130" s="10" t="s">
        <v>30</v>
      </c>
      <c r="C130" s="11" t="s">
        <v>305</v>
      </c>
      <c r="D130" s="11" t="s">
        <v>306</v>
      </c>
      <c r="E130" s="11" t="s">
        <v>19</v>
      </c>
      <c r="F130" s="12">
        <v>46076</v>
      </c>
      <c r="G130" s="12">
        <v>46093</v>
      </c>
      <c r="H130" s="12">
        <v>45995</v>
      </c>
      <c r="I130" s="12">
        <v>46001</v>
      </c>
      <c r="J130" s="12"/>
      <c r="K130" s="3" t="str">
        <f t="shared" ref="K130:K158" ca="1" si="6">IF(COUNT(F130,G130,H130,I130,J130)=0,"No Training Done",IF(TODAY()&lt; MAX(F130,G130,H130,I130,J130)+60,"Not Eligible","Eligible"))</f>
        <v>Eligible</v>
      </c>
      <c r="L130" s="27">
        <f t="shared" ref="L130:L193" ca="1" si="7">IF(COUNT(F130:J130)=0,0,TODAY()-MAX(F130:J130))</f>
        <v>70</v>
      </c>
      <c r="M130" s="12"/>
    </row>
    <row r="131" spans="1:13" ht="14.45">
      <c r="A131" s="10">
        <v>130</v>
      </c>
      <c r="B131" s="10" t="s">
        <v>40</v>
      </c>
      <c r="C131" s="11" t="s">
        <v>307</v>
      </c>
      <c r="D131" s="11" t="s">
        <v>308</v>
      </c>
      <c r="E131" s="11" t="s">
        <v>19</v>
      </c>
      <c r="F131" s="12"/>
      <c r="G131" s="12"/>
      <c r="H131" s="12">
        <v>45943</v>
      </c>
      <c r="I131" s="12">
        <v>45961</v>
      </c>
      <c r="J131" s="12">
        <v>46154</v>
      </c>
      <c r="K131" s="3" t="str">
        <f t="shared" ca="1" si="6"/>
        <v>Not Eligible</v>
      </c>
      <c r="L131" s="27">
        <f t="shared" ca="1" si="7"/>
        <v>9</v>
      </c>
      <c r="M131" s="12"/>
    </row>
    <row r="132" spans="1:13">
      <c r="A132" s="14">
        <v>131</v>
      </c>
      <c r="B132" s="10" t="s">
        <v>40</v>
      </c>
      <c r="C132" s="11" t="s">
        <v>309</v>
      </c>
      <c r="D132" s="11" t="s">
        <v>310</v>
      </c>
      <c r="E132" s="11" t="s">
        <v>19</v>
      </c>
      <c r="F132" s="12"/>
      <c r="G132" s="12"/>
      <c r="H132" s="12"/>
      <c r="I132" s="12"/>
      <c r="J132" s="17">
        <v>46162</v>
      </c>
      <c r="K132" s="3" t="str">
        <f t="shared" ca="1" si="6"/>
        <v>Not Eligible</v>
      </c>
      <c r="L132" s="27">
        <f t="shared" ca="1" si="7"/>
        <v>1</v>
      </c>
      <c r="M132" s="12"/>
    </row>
    <row r="133" spans="1:13">
      <c r="A133" s="10">
        <v>132</v>
      </c>
      <c r="B133" s="10" t="s">
        <v>40</v>
      </c>
      <c r="C133" s="11" t="s">
        <v>311</v>
      </c>
      <c r="D133" s="11" t="s">
        <v>312</v>
      </c>
      <c r="E133" s="11" t="s">
        <v>19</v>
      </c>
      <c r="F133" s="12"/>
      <c r="G133" s="12"/>
      <c r="H133" s="12">
        <v>45959</v>
      </c>
      <c r="I133" s="12">
        <v>45961</v>
      </c>
      <c r="J133" s="17">
        <v>46162</v>
      </c>
      <c r="K133" s="3" t="str">
        <f t="shared" ca="1" si="6"/>
        <v>Not Eligible</v>
      </c>
      <c r="L133" s="27">
        <f t="shared" ca="1" si="7"/>
        <v>1</v>
      </c>
      <c r="M133" s="12"/>
    </row>
    <row r="134" spans="1:13" ht="14.45">
      <c r="A134" s="14">
        <v>133</v>
      </c>
      <c r="B134" s="10" t="s">
        <v>35</v>
      </c>
      <c r="C134" s="11" t="s">
        <v>313</v>
      </c>
      <c r="D134" s="11" t="s">
        <v>314</v>
      </c>
      <c r="E134" s="11" t="s">
        <v>71</v>
      </c>
      <c r="F134" s="12">
        <v>46050</v>
      </c>
      <c r="G134" s="12"/>
      <c r="H134" s="12">
        <v>45924</v>
      </c>
      <c r="I134" s="12">
        <v>46001</v>
      </c>
      <c r="J134" s="12">
        <v>46140</v>
      </c>
      <c r="K134" s="3" t="str">
        <f t="shared" ca="1" si="6"/>
        <v>Not Eligible</v>
      </c>
      <c r="L134" s="27">
        <f t="shared" ca="1" si="7"/>
        <v>23</v>
      </c>
      <c r="M134" s="12"/>
    </row>
    <row r="135" spans="1:13" ht="14.45">
      <c r="A135" s="10">
        <v>134</v>
      </c>
      <c r="B135" s="10" t="s">
        <v>35</v>
      </c>
      <c r="C135" s="11" t="s">
        <v>315</v>
      </c>
      <c r="D135" s="11" t="s">
        <v>316</v>
      </c>
      <c r="E135" s="11" t="s">
        <v>71</v>
      </c>
      <c r="F135" s="12">
        <v>46050</v>
      </c>
      <c r="G135" s="12"/>
      <c r="H135" s="12">
        <v>45940</v>
      </c>
      <c r="I135" s="12">
        <v>45961</v>
      </c>
      <c r="J135" s="12">
        <v>46132</v>
      </c>
      <c r="K135" s="3" t="str">
        <f t="shared" ca="1" si="6"/>
        <v>Not Eligible</v>
      </c>
      <c r="L135" s="27">
        <f t="shared" ca="1" si="7"/>
        <v>31</v>
      </c>
      <c r="M135" s="12"/>
    </row>
    <row r="136" spans="1:13" ht="14.45">
      <c r="A136" s="14">
        <v>135</v>
      </c>
      <c r="B136" s="10" t="s">
        <v>35</v>
      </c>
      <c r="C136" s="11" t="s">
        <v>317</v>
      </c>
      <c r="D136" s="11" t="s">
        <v>318</v>
      </c>
      <c r="E136" s="11" t="s">
        <v>71</v>
      </c>
      <c r="F136" s="12">
        <v>46071</v>
      </c>
      <c r="G136" s="12"/>
      <c r="H136" s="12"/>
      <c r="I136" s="12"/>
      <c r="J136" s="12">
        <v>46140</v>
      </c>
      <c r="K136" s="3" t="str">
        <f t="shared" ca="1" si="6"/>
        <v>Not Eligible</v>
      </c>
      <c r="L136" s="27">
        <f t="shared" ca="1" si="7"/>
        <v>23</v>
      </c>
      <c r="M136" s="12"/>
    </row>
    <row r="137" spans="1:13" ht="14.45">
      <c r="A137" s="10">
        <v>136</v>
      </c>
      <c r="B137" s="10" t="s">
        <v>32</v>
      </c>
      <c r="C137" s="11" t="s">
        <v>319</v>
      </c>
      <c r="D137" s="11" t="s">
        <v>320</v>
      </c>
      <c r="E137" s="11" t="s">
        <v>19</v>
      </c>
      <c r="F137" s="12"/>
      <c r="G137" s="12"/>
      <c r="H137" s="12">
        <v>45959</v>
      </c>
      <c r="I137" s="12">
        <v>45967</v>
      </c>
      <c r="J137" s="12">
        <v>46154</v>
      </c>
      <c r="K137" s="3" t="str">
        <f t="shared" ca="1" si="6"/>
        <v>Not Eligible</v>
      </c>
      <c r="L137" s="27">
        <f t="shared" ca="1" si="7"/>
        <v>9</v>
      </c>
      <c r="M137" s="12"/>
    </row>
    <row r="138" spans="1:13">
      <c r="A138" s="14">
        <v>137</v>
      </c>
      <c r="B138" s="10" t="s">
        <v>40</v>
      </c>
      <c r="C138" s="11" t="s">
        <v>321</v>
      </c>
      <c r="D138" s="11" t="s">
        <v>322</v>
      </c>
      <c r="E138" s="11" t="s">
        <v>64</v>
      </c>
      <c r="F138" s="12"/>
      <c r="G138" s="12"/>
      <c r="H138" s="12">
        <v>45931</v>
      </c>
      <c r="I138" s="12">
        <v>45965</v>
      </c>
      <c r="J138" s="17">
        <v>46162</v>
      </c>
      <c r="K138" s="3" t="str">
        <f t="shared" ca="1" si="6"/>
        <v>Not Eligible</v>
      </c>
      <c r="L138" s="27">
        <f t="shared" ca="1" si="7"/>
        <v>1</v>
      </c>
      <c r="M138" s="12"/>
    </row>
    <row r="139" spans="1:13" ht="14.45">
      <c r="A139" s="10">
        <v>138</v>
      </c>
      <c r="B139" s="10" t="s">
        <v>32</v>
      </c>
      <c r="C139" s="11" t="s">
        <v>323</v>
      </c>
      <c r="D139" s="11" t="s">
        <v>324</v>
      </c>
      <c r="E139" s="11" t="s">
        <v>64</v>
      </c>
      <c r="F139" s="12"/>
      <c r="G139" s="12"/>
      <c r="H139" s="12">
        <v>45930</v>
      </c>
      <c r="I139" s="12"/>
      <c r="J139" s="12"/>
      <c r="K139" s="3" t="str">
        <f t="shared" ca="1" si="6"/>
        <v>Eligible</v>
      </c>
      <c r="L139" s="27">
        <f t="shared" ca="1" si="7"/>
        <v>233</v>
      </c>
      <c r="M139" s="12" t="s">
        <v>96</v>
      </c>
    </row>
    <row r="140" spans="1:13" ht="14.45">
      <c r="A140" s="14">
        <v>139</v>
      </c>
      <c r="B140" s="10" t="s">
        <v>30</v>
      </c>
      <c r="C140" s="11" t="s">
        <v>325</v>
      </c>
      <c r="D140" s="11" t="s">
        <v>326</v>
      </c>
      <c r="E140" s="11" t="s">
        <v>19</v>
      </c>
      <c r="F140" s="12">
        <v>46065</v>
      </c>
      <c r="G140" s="12">
        <v>46085</v>
      </c>
      <c r="H140" s="12">
        <v>45940</v>
      </c>
      <c r="I140" s="12"/>
      <c r="J140" s="12">
        <v>46147</v>
      </c>
      <c r="K140" s="3" t="str">
        <f t="shared" ca="1" si="6"/>
        <v>Not Eligible</v>
      </c>
      <c r="L140" s="27">
        <f t="shared" ca="1" si="7"/>
        <v>16</v>
      </c>
      <c r="M140" s="12"/>
    </row>
    <row r="141" spans="1:13" ht="14.45">
      <c r="A141" s="10">
        <v>140</v>
      </c>
      <c r="B141" s="10" t="s">
        <v>39</v>
      </c>
      <c r="C141" s="11" t="s">
        <v>327</v>
      </c>
      <c r="D141" s="11" t="s">
        <v>328</v>
      </c>
      <c r="E141" s="11" t="s">
        <v>19</v>
      </c>
      <c r="F141" s="12">
        <v>46051</v>
      </c>
      <c r="G141" s="12">
        <v>46092</v>
      </c>
      <c r="H141" s="12">
        <v>45940</v>
      </c>
      <c r="I141" s="12"/>
      <c r="J141" s="12"/>
      <c r="K141" s="3" t="str">
        <f t="shared" ca="1" si="6"/>
        <v>Eligible</v>
      </c>
      <c r="L141" s="27">
        <f t="shared" ca="1" si="7"/>
        <v>71</v>
      </c>
      <c r="M141" s="12"/>
    </row>
    <row r="142" spans="1:13" ht="14.45">
      <c r="A142" s="14">
        <v>141</v>
      </c>
      <c r="B142" s="10" t="s">
        <v>31</v>
      </c>
      <c r="C142" s="11" t="s">
        <v>329</v>
      </c>
      <c r="D142" s="11" t="s">
        <v>330</v>
      </c>
      <c r="E142" s="11" t="s">
        <v>19</v>
      </c>
      <c r="F142" s="12"/>
      <c r="G142" s="12">
        <v>46091</v>
      </c>
      <c r="H142" s="12"/>
      <c r="I142" s="12"/>
      <c r="J142" s="12">
        <v>46133</v>
      </c>
      <c r="K142" s="3" t="str">
        <f t="shared" ca="1" si="6"/>
        <v>Not Eligible</v>
      </c>
      <c r="L142" s="27">
        <f t="shared" ca="1" si="7"/>
        <v>30</v>
      </c>
      <c r="M142" s="12"/>
    </row>
    <row r="143" spans="1:13" ht="14.45">
      <c r="A143" s="10">
        <v>142</v>
      </c>
      <c r="B143" s="10" t="s">
        <v>41</v>
      </c>
      <c r="C143" s="11" t="s">
        <v>331</v>
      </c>
      <c r="D143" s="11" t="s">
        <v>332</v>
      </c>
      <c r="E143" s="11" t="s">
        <v>19</v>
      </c>
      <c r="F143" s="12">
        <v>46078</v>
      </c>
      <c r="G143" s="12"/>
      <c r="H143" s="12">
        <v>45966</v>
      </c>
      <c r="I143" s="12">
        <v>45971</v>
      </c>
      <c r="J143" s="12"/>
      <c r="K143" s="3" t="str">
        <f t="shared" ca="1" si="6"/>
        <v>Eligible</v>
      </c>
      <c r="L143" s="27">
        <f t="shared" ca="1" si="7"/>
        <v>85</v>
      </c>
      <c r="M143" s="12"/>
    </row>
    <row r="144" spans="1:13" ht="14.45">
      <c r="A144" s="14">
        <v>143</v>
      </c>
      <c r="B144" s="10" t="s">
        <v>33</v>
      </c>
      <c r="C144" s="11" t="s">
        <v>333</v>
      </c>
      <c r="D144" s="11" t="s">
        <v>334</v>
      </c>
      <c r="E144" s="11" t="s">
        <v>19</v>
      </c>
      <c r="F144" s="12">
        <v>46065</v>
      </c>
      <c r="G144" s="12">
        <v>46105</v>
      </c>
      <c r="H144" s="12">
        <v>45924</v>
      </c>
      <c r="I144" s="12">
        <v>45961</v>
      </c>
      <c r="J144" s="12">
        <v>46132</v>
      </c>
      <c r="K144" s="3" t="str">
        <f t="shared" ca="1" si="6"/>
        <v>Not Eligible</v>
      </c>
      <c r="L144" s="27">
        <f t="shared" ca="1" si="7"/>
        <v>31</v>
      </c>
      <c r="M144" s="12"/>
    </row>
    <row r="145" spans="1:13" ht="14.45">
      <c r="A145" s="10">
        <v>144</v>
      </c>
      <c r="B145" s="10" t="s">
        <v>41</v>
      </c>
      <c r="C145" s="11" t="s">
        <v>335</v>
      </c>
      <c r="D145" s="11" t="s">
        <v>336</v>
      </c>
      <c r="E145" s="11" t="s">
        <v>15</v>
      </c>
      <c r="F145" s="12">
        <v>46050</v>
      </c>
      <c r="G145" s="12">
        <v>46092</v>
      </c>
      <c r="H145" s="12">
        <v>45940</v>
      </c>
      <c r="I145" s="12">
        <v>45994</v>
      </c>
      <c r="J145" s="12"/>
      <c r="K145" s="3" t="str">
        <f t="shared" ca="1" si="6"/>
        <v>Eligible</v>
      </c>
      <c r="L145" s="27">
        <f t="shared" ca="1" si="7"/>
        <v>71</v>
      </c>
      <c r="M145" s="12"/>
    </row>
    <row r="146" spans="1:13" ht="14.45">
      <c r="A146" s="14">
        <v>145</v>
      </c>
      <c r="B146" s="10" t="s">
        <v>28</v>
      </c>
      <c r="C146" s="11" t="s">
        <v>337</v>
      </c>
      <c r="D146" s="13" t="s">
        <v>338</v>
      </c>
      <c r="E146" s="11" t="s">
        <v>19</v>
      </c>
      <c r="F146" s="12"/>
      <c r="G146" s="12">
        <v>46085</v>
      </c>
      <c r="H146" s="12"/>
      <c r="I146" s="12"/>
      <c r="J146" s="12">
        <v>46141</v>
      </c>
      <c r="K146" s="3" t="str">
        <f t="shared" ca="1" si="6"/>
        <v>Not Eligible</v>
      </c>
      <c r="L146" s="27">
        <f t="shared" ca="1" si="7"/>
        <v>22</v>
      </c>
      <c r="M146" s="12"/>
    </row>
    <row r="147" spans="1:13" ht="14.45">
      <c r="A147" s="10">
        <v>146</v>
      </c>
      <c r="B147" s="10" t="s">
        <v>29</v>
      </c>
      <c r="C147" s="11" t="s">
        <v>339</v>
      </c>
      <c r="D147" s="11" t="s">
        <v>340</v>
      </c>
      <c r="E147" s="11" t="s">
        <v>19</v>
      </c>
      <c r="F147" s="12">
        <v>46077</v>
      </c>
      <c r="G147" s="12">
        <v>46097</v>
      </c>
      <c r="H147" s="12"/>
      <c r="I147" s="12"/>
      <c r="J147" s="12">
        <v>46132</v>
      </c>
      <c r="K147" s="3" t="str">
        <f t="shared" ca="1" si="6"/>
        <v>Not Eligible</v>
      </c>
      <c r="L147" s="27">
        <f t="shared" ca="1" si="7"/>
        <v>31</v>
      </c>
      <c r="M147" s="12"/>
    </row>
    <row r="148" spans="1:13">
      <c r="A148" s="14">
        <v>147</v>
      </c>
      <c r="B148" s="10" t="s">
        <v>40</v>
      </c>
      <c r="C148" s="11" t="s">
        <v>341</v>
      </c>
      <c r="D148" s="11" t="s">
        <v>342</v>
      </c>
      <c r="E148" s="11" t="s">
        <v>19</v>
      </c>
      <c r="F148" s="12"/>
      <c r="G148" s="12"/>
      <c r="H148" s="12">
        <v>45974</v>
      </c>
      <c r="I148" s="12">
        <v>45994</v>
      </c>
      <c r="J148" s="17">
        <v>46162</v>
      </c>
      <c r="K148" s="3" t="str">
        <f t="shared" ca="1" si="6"/>
        <v>Not Eligible</v>
      </c>
      <c r="L148" s="27">
        <f t="shared" ca="1" si="7"/>
        <v>1</v>
      </c>
      <c r="M148" s="12"/>
    </row>
    <row r="149" spans="1:13" ht="14.45">
      <c r="A149" s="10">
        <v>148</v>
      </c>
      <c r="B149" s="10" t="s">
        <v>29</v>
      </c>
      <c r="C149" s="11" t="s">
        <v>343</v>
      </c>
      <c r="D149" s="11" t="s">
        <v>344</v>
      </c>
      <c r="E149" s="11" t="s">
        <v>19</v>
      </c>
      <c r="F149" s="12">
        <v>46049</v>
      </c>
      <c r="G149" s="12">
        <v>46085</v>
      </c>
      <c r="H149" s="12">
        <v>45919</v>
      </c>
      <c r="I149" s="12">
        <v>45971</v>
      </c>
      <c r="J149" s="12">
        <v>46139</v>
      </c>
      <c r="K149" s="3" t="str">
        <f t="shared" ca="1" si="6"/>
        <v>Not Eligible</v>
      </c>
      <c r="L149" s="27">
        <f t="shared" ca="1" si="7"/>
        <v>24</v>
      </c>
      <c r="M149" s="12"/>
    </row>
    <row r="150" spans="1:13" ht="14.45">
      <c r="A150" s="14">
        <v>149</v>
      </c>
      <c r="B150" s="10" t="s">
        <v>30</v>
      </c>
      <c r="C150" s="11" t="s">
        <v>345</v>
      </c>
      <c r="D150" s="11" t="s">
        <v>346</v>
      </c>
      <c r="E150" s="11" t="s">
        <v>19</v>
      </c>
      <c r="F150" s="12">
        <v>46065</v>
      </c>
      <c r="G150" s="12">
        <v>46086</v>
      </c>
      <c r="H150" s="12"/>
      <c r="I150" s="12"/>
      <c r="J150" s="12">
        <v>46135</v>
      </c>
      <c r="K150" s="3" t="str">
        <f t="shared" ca="1" si="6"/>
        <v>Not Eligible</v>
      </c>
      <c r="L150" s="27">
        <f t="shared" ca="1" si="7"/>
        <v>28</v>
      </c>
      <c r="M150" s="12"/>
    </row>
    <row r="151" spans="1:13" ht="14.45">
      <c r="A151" s="10">
        <v>150</v>
      </c>
      <c r="B151" s="10" t="s">
        <v>36</v>
      </c>
      <c r="C151" s="11" t="s">
        <v>347</v>
      </c>
      <c r="D151" s="11" t="s">
        <v>348</v>
      </c>
      <c r="E151" s="11" t="s">
        <v>19</v>
      </c>
      <c r="F151" s="12"/>
      <c r="G151" s="12"/>
      <c r="H151" s="12"/>
      <c r="I151" s="12"/>
      <c r="J151" s="12"/>
      <c r="K151" s="3" t="str">
        <f t="shared" ca="1" si="6"/>
        <v>No Training Done</v>
      </c>
      <c r="L151" s="27">
        <f t="shared" ca="1" si="7"/>
        <v>0</v>
      </c>
      <c r="M151" s="12" t="s">
        <v>96</v>
      </c>
    </row>
    <row r="152" spans="1:13" ht="14.45">
      <c r="A152" s="14">
        <v>151</v>
      </c>
      <c r="B152" s="10" t="s">
        <v>36</v>
      </c>
      <c r="C152" s="11" t="s">
        <v>349</v>
      </c>
      <c r="D152" s="11" t="s">
        <v>350</v>
      </c>
      <c r="E152" s="11" t="s">
        <v>19</v>
      </c>
      <c r="F152" s="12">
        <v>46049</v>
      </c>
      <c r="G152" s="12">
        <v>46092</v>
      </c>
      <c r="H152" s="12">
        <v>45940</v>
      </c>
      <c r="I152" s="12">
        <v>45965</v>
      </c>
      <c r="J152" s="12"/>
      <c r="K152" s="3" t="str">
        <f t="shared" ca="1" si="6"/>
        <v>Eligible</v>
      </c>
      <c r="L152" s="27">
        <f t="shared" ca="1" si="7"/>
        <v>71</v>
      </c>
      <c r="M152" s="12"/>
    </row>
    <row r="153" spans="1:13" ht="14.45">
      <c r="A153" s="10">
        <v>152</v>
      </c>
      <c r="B153" s="10" t="s">
        <v>31</v>
      </c>
      <c r="C153" s="11" t="s">
        <v>351</v>
      </c>
      <c r="D153" s="11" t="s">
        <v>352</v>
      </c>
      <c r="E153" s="11" t="s">
        <v>19</v>
      </c>
      <c r="F153" s="12"/>
      <c r="G153" s="12"/>
      <c r="H153" s="12"/>
      <c r="I153" s="12"/>
      <c r="J153" s="12">
        <v>46135</v>
      </c>
      <c r="K153" s="3" t="str">
        <f t="shared" ca="1" si="6"/>
        <v>Not Eligible</v>
      </c>
      <c r="L153" s="27">
        <f t="shared" ca="1" si="7"/>
        <v>28</v>
      </c>
      <c r="M153" s="12"/>
    </row>
    <row r="154" spans="1:13" ht="14.45">
      <c r="A154" s="14">
        <v>153</v>
      </c>
      <c r="B154" s="10" t="s">
        <v>36</v>
      </c>
      <c r="C154" s="11" t="s">
        <v>353</v>
      </c>
      <c r="D154" s="11" t="s">
        <v>354</v>
      </c>
      <c r="E154" s="11" t="s">
        <v>19</v>
      </c>
      <c r="F154" s="12">
        <v>46062</v>
      </c>
      <c r="G154" s="12">
        <v>46091</v>
      </c>
      <c r="H154" s="12">
        <v>45931</v>
      </c>
      <c r="I154" s="12">
        <v>45965</v>
      </c>
      <c r="J154" s="12">
        <v>46148</v>
      </c>
      <c r="K154" s="3" t="str">
        <f t="shared" ca="1" si="6"/>
        <v>Not Eligible</v>
      </c>
      <c r="L154" s="27">
        <f t="shared" ca="1" si="7"/>
        <v>15</v>
      </c>
      <c r="M154" s="12"/>
    </row>
    <row r="155" spans="1:13" ht="14.45">
      <c r="A155" s="10">
        <v>154</v>
      </c>
      <c r="B155" s="10" t="s">
        <v>33</v>
      </c>
      <c r="C155" s="11" t="s">
        <v>355</v>
      </c>
      <c r="D155" s="11" t="s">
        <v>356</v>
      </c>
      <c r="E155" s="11" t="s">
        <v>19</v>
      </c>
      <c r="F155" s="12">
        <v>46077</v>
      </c>
      <c r="G155" s="12"/>
      <c r="H155" s="12"/>
      <c r="I155" s="12"/>
      <c r="J155" s="12">
        <v>46139</v>
      </c>
      <c r="K155" s="3" t="str">
        <f t="shared" ca="1" si="6"/>
        <v>Not Eligible</v>
      </c>
      <c r="L155" s="27">
        <f t="shared" ca="1" si="7"/>
        <v>24</v>
      </c>
      <c r="M155" s="12"/>
    </row>
    <row r="156" spans="1:13" ht="14.45">
      <c r="A156" s="14">
        <v>155</v>
      </c>
      <c r="B156" s="10" t="s">
        <v>33</v>
      </c>
      <c r="C156" s="11" t="s">
        <v>357</v>
      </c>
      <c r="D156" s="11" t="s">
        <v>358</v>
      </c>
      <c r="E156" s="11" t="s">
        <v>19</v>
      </c>
      <c r="F156" s="12">
        <v>46056</v>
      </c>
      <c r="G156" s="12"/>
      <c r="H156" s="12">
        <v>45930</v>
      </c>
      <c r="I156" s="12">
        <v>45994</v>
      </c>
      <c r="J156" s="12">
        <v>46139</v>
      </c>
      <c r="K156" s="3" t="str">
        <f t="shared" ca="1" si="6"/>
        <v>Not Eligible</v>
      </c>
      <c r="L156" s="27">
        <f t="shared" ca="1" si="7"/>
        <v>24</v>
      </c>
      <c r="M156" s="12"/>
    </row>
    <row r="157" spans="1:13" ht="14.45">
      <c r="A157" s="10">
        <v>156</v>
      </c>
      <c r="B157" s="10" t="s">
        <v>41</v>
      </c>
      <c r="C157" s="11" t="s">
        <v>359</v>
      </c>
      <c r="D157" s="11" t="s">
        <v>360</v>
      </c>
      <c r="E157" s="11" t="s">
        <v>19</v>
      </c>
      <c r="F157" s="12">
        <v>46078</v>
      </c>
      <c r="G157" s="12">
        <v>46105</v>
      </c>
      <c r="H157" s="12">
        <v>45974</v>
      </c>
      <c r="I157" s="12"/>
      <c r="J157" s="12"/>
      <c r="K157" s="3" t="str">
        <f t="shared" ca="1" si="6"/>
        <v>Not Eligible</v>
      </c>
      <c r="L157" s="27">
        <f t="shared" ca="1" si="7"/>
        <v>58</v>
      </c>
      <c r="M157" s="12"/>
    </row>
    <row r="158" spans="1:13" ht="14.45">
      <c r="A158" s="14">
        <v>157</v>
      </c>
      <c r="B158" s="10" t="s">
        <v>33</v>
      </c>
      <c r="C158" s="11" t="s">
        <v>361</v>
      </c>
      <c r="D158" s="11" t="s">
        <v>362</v>
      </c>
      <c r="E158" s="11" t="s">
        <v>19</v>
      </c>
      <c r="F158" s="12">
        <v>46051</v>
      </c>
      <c r="G158" s="12"/>
      <c r="H158" s="12">
        <v>45931</v>
      </c>
      <c r="I158" s="12">
        <v>46007</v>
      </c>
      <c r="J158" s="12">
        <v>46141</v>
      </c>
      <c r="K158" s="3" t="str">
        <f t="shared" ca="1" si="6"/>
        <v>Not Eligible</v>
      </c>
      <c r="L158" s="27">
        <f t="shared" ca="1" si="7"/>
        <v>22</v>
      </c>
      <c r="M158" s="12"/>
    </row>
    <row r="159" spans="1:13" ht="14.45">
      <c r="A159" s="10">
        <v>158</v>
      </c>
      <c r="B159" s="10" t="s">
        <v>40</v>
      </c>
      <c r="C159" s="11" t="s">
        <v>363</v>
      </c>
      <c r="D159" s="11" t="s">
        <v>364</v>
      </c>
      <c r="E159" s="11" t="s">
        <v>19</v>
      </c>
      <c r="F159" s="12"/>
      <c r="G159" s="12"/>
      <c r="I159" s="12"/>
      <c r="J159" s="12">
        <v>46135</v>
      </c>
      <c r="K159" s="3" t="str">
        <f ca="1">IF(COUNT(F159,G159,H162,I159,J159)=0,"No Training Done",IF(TODAY()&lt; MAX(F159,G159,H162,I159,J159)+60,"Not Eligible","Eligible"))</f>
        <v>Not Eligible</v>
      </c>
      <c r="L159" s="27">
        <f t="shared" ca="1" si="7"/>
        <v>28</v>
      </c>
      <c r="M159" s="12"/>
    </row>
    <row r="160" spans="1:13" ht="14.45">
      <c r="A160" s="14">
        <v>159</v>
      </c>
      <c r="B160" s="10" t="s">
        <v>33</v>
      </c>
      <c r="C160" s="11" t="s">
        <v>365</v>
      </c>
      <c r="D160" s="11" t="s">
        <v>366</v>
      </c>
      <c r="E160" s="11" t="s">
        <v>19</v>
      </c>
      <c r="F160" s="12">
        <v>46077</v>
      </c>
      <c r="G160" s="12"/>
      <c r="H160" s="12">
        <v>45930</v>
      </c>
      <c r="I160" s="12">
        <v>46000</v>
      </c>
      <c r="J160" s="12"/>
      <c r="K160" s="3" t="str">
        <f t="shared" ref="K160:K191" ca="1" si="8">IF(COUNT(F160,G160,H160,I160,J160)=0,"No Training Done",IF(TODAY()&lt; MAX(F160,G160,H160,I160,J160)+60,"Not Eligible","Eligible"))</f>
        <v>Eligible</v>
      </c>
      <c r="L160" s="27">
        <f t="shared" ca="1" si="7"/>
        <v>86</v>
      </c>
      <c r="M160" s="12"/>
    </row>
    <row r="161" spans="1:13" ht="14.45">
      <c r="A161" s="10">
        <v>160</v>
      </c>
      <c r="B161" s="10" t="s">
        <v>30</v>
      </c>
      <c r="C161" s="11" t="s">
        <v>367</v>
      </c>
      <c r="D161" s="11" t="s">
        <v>368</v>
      </c>
      <c r="E161" s="11" t="s">
        <v>57</v>
      </c>
      <c r="F161" s="12">
        <v>46057</v>
      </c>
      <c r="G161" s="12">
        <v>46086</v>
      </c>
      <c r="H161" s="12">
        <v>45910</v>
      </c>
      <c r="I161" s="12"/>
      <c r="J161" s="12">
        <v>46148</v>
      </c>
      <c r="K161" s="3" t="str">
        <f t="shared" ca="1" si="8"/>
        <v>Not Eligible</v>
      </c>
      <c r="L161" s="27">
        <f t="shared" ca="1" si="7"/>
        <v>15</v>
      </c>
      <c r="M161" s="12"/>
    </row>
    <row r="162" spans="1:13" ht="14.45">
      <c r="A162" s="14">
        <v>161</v>
      </c>
      <c r="B162" s="10" t="s">
        <v>40</v>
      </c>
      <c r="C162" s="11" t="s">
        <v>369</v>
      </c>
      <c r="D162" s="11" t="s">
        <v>370</v>
      </c>
      <c r="E162" s="11" t="s">
        <v>64</v>
      </c>
      <c r="F162" s="12"/>
      <c r="G162" s="12"/>
      <c r="H162" s="12">
        <v>45910</v>
      </c>
      <c r="I162" s="12">
        <v>45994</v>
      </c>
      <c r="J162" s="12">
        <v>46140</v>
      </c>
      <c r="K162" s="3" t="str">
        <f t="shared" ca="1" si="8"/>
        <v>Not Eligible</v>
      </c>
      <c r="L162" s="27">
        <f t="shared" ca="1" si="7"/>
        <v>23</v>
      </c>
      <c r="M162" s="12"/>
    </row>
    <row r="163" spans="1:13" ht="14.45">
      <c r="A163" s="10">
        <v>162</v>
      </c>
      <c r="B163" s="10" t="s">
        <v>41</v>
      </c>
      <c r="C163" s="11" t="s">
        <v>371</v>
      </c>
      <c r="D163" s="11" t="s">
        <v>372</v>
      </c>
      <c r="E163" s="11" t="s">
        <v>15</v>
      </c>
      <c r="F163" s="12">
        <v>46066</v>
      </c>
      <c r="G163" s="12"/>
      <c r="H163" s="12">
        <v>45959</v>
      </c>
      <c r="I163" s="12">
        <v>45971</v>
      </c>
      <c r="J163" s="12"/>
      <c r="K163" s="3" t="str">
        <f t="shared" ca="1" si="8"/>
        <v>Eligible</v>
      </c>
      <c r="L163" s="27">
        <f t="shared" ca="1" si="7"/>
        <v>97</v>
      </c>
      <c r="M163" s="12"/>
    </row>
    <row r="164" spans="1:13" ht="14.45">
      <c r="A164" s="14">
        <v>163</v>
      </c>
      <c r="B164" s="10" t="s">
        <v>99</v>
      </c>
      <c r="C164" s="11" t="s">
        <v>373</v>
      </c>
      <c r="D164" s="11" t="s">
        <v>374</v>
      </c>
      <c r="E164" s="11" t="s">
        <v>19</v>
      </c>
      <c r="F164" s="12">
        <v>46070</v>
      </c>
      <c r="G164" s="12">
        <v>46092</v>
      </c>
      <c r="H164" s="12">
        <v>45943</v>
      </c>
      <c r="I164" s="12"/>
      <c r="J164" s="12">
        <v>46154</v>
      </c>
      <c r="K164" s="3" t="str">
        <f t="shared" ca="1" si="8"/>
        <v>Not Eligible</v>
      </c>
      <c r="L164" s="27">
        <f t="shared" ca="1" si="7"/>
        <v>9</v>
      </c>
      <c r="M164" s="12"/>
    </row>
    <row r="165" spans="1:13" ht="14.45">
      <c r="A165" s="10">
        <v>164</v>
      </c>
      <c r="B165" s="10" t="s">
        <v>40</v>
      </c>
      <c r="C165" s="11" t="s">
        <v>375</v>
      </c>
      <c r="D165" s="11" t="s">
        <v>376</v>
      </c>
      <c r="E165" s="11" t="s">
        <v>19</v>
      </c>
      <c r="F165" s="12">
        <v>46051</v>
      </c>
      <c r="G165" s="12"/>
      <c r="H165" s="12"/>
      <c r="I165" s="12">
        <v>46006</v>
      </c>
      <c r="J165" s="12">
        <v>46141</v>
      </c>
      <c r="K165" s="3" t="str">
        <f t="shared" ca="1" si="8"/>
        <v>Not Eligible</v>
      </c>
      <c r="L165" s="27">
        <f t="shared" ca="1" si="7"/>
        <v>22</v>
      </c>
      <c r="M165" s="12"/>
    </row>
    <row r="166" spans="1:13" ht="14.45">
      <c r="A166" s="14">
        <v>165</v>
      </c>
      <c r="B166" s="10" t="s">
        <v>33</v>
      </c>
      <c r="C166" s="11" t="s">
        <v>377</v>
      </c>
      <c r="D166" s="11" t="s">
        <v>378</v>
      </c>
      <c r="E166" s="11" t="s">
        <v>19</v>
      </c>
      <c r="F166" s="12"/>
      <c r="G166" s="12"/>
      <c r="H166" s="12">
        <v>45923</v>
      </c>
      <c r="I166" s="12">
        <v>45965</v>
      </c>
      <c r="J166" s="12"/>
      <c r="K166" s="3" t="str">
        <f t="shared" ca="1" si="8"/>
        <v>Eligible</v>
      </c>
      <c r="L166" s="27">
        <f t="shared" ca="1" si="7"/>
        <v>198</v>
      </c>
      <c r="M166" s="12" t="s">
        <v>96</v>
      </c>
    </row>
    <row r="167" spans="1:13" ht="14.45">
      <c r="A167" s="10">
        <v>166</v>
      </c>
      <c r="B167" s="10" t="s">
        <v>32</v>
      </c>
      <c r="C167" s="11" t="s">
        <v>379</v>
      </c>
      <c r="D167" s="11" t="s">
        <v>380</v>
      </c>
      <c r="E167" s="11" t="s">
        <v>64</v>
      </c>
      <c r="F167" s="12"/>
      <c r="G167" s="12"/>
      <c r="H167" s="12">
        <v>45966</v>
      </c>
      <c r="I167" s="12">
        <v>46006</v>
      </c>
      <c r="J167" s="12">
        <v>46153</v>
      </c>
      <c r="K167" s="3" t="str">
        <f t="shared" ca="1" si="8"/>
        <v>Not Eligible</v>
      </c>
      <c r="L167" s="27">
        <f t="shared" ca="1" si="7"/>
        <v>10</v>
      </c>
      <c r="M167" s="12"/>
    </row>
    <row r="168" spans="1:13" ht="14.45">
      <c r="A168" s="14">
        <v>167</v>
      </c>
      <c r="B168" s="10" t="s">
        <v>33</v>
      </c>
      <c r="C168" s="11" t="s">
        <v>381</v>
      </c>
      <c r="D168" s="11" t="s">
        <v>382</v>
      </c>
      <c r="E168" s="11" t="s">
        <v>19</v>
      </c>
      <c r="F168" s="12">
        <v>46076</v>
      </c>
      <c r="G168" s="12"/>
      <c r="H168" s="12">
        <v>45974</v>
      </c>
      <c r="I168" s="12">
        <v>46000</v>
      </c>
      <c r="J168" s="12">
        <v>46133</v>
      </c>
      <c r="K168" s="3" t="str">
        <f t="shared" ca="1" si="8"/>
        <v>Not Eligible</v>
      </c>
      <c r="L168" s="27">
        <f t="shared" ca="1" si="7"/>
        <v>30</v>
      </c>
      <c r="M168" s="12"/>
    </row>
    <row r="169" spans="1:13" ht="14.45">
      <c r="A169" s="10">
        <v>168</v>
      </c>
      <c r="B169" s="10" t="s">
        <v>32</v>
      </c>
      <c r="C169" s="11" t="s">
        <v>383</v>
      </c>
      <c r="D169" s="11" t="s">
        <v>384</v>
      </c>
      <c r="E169" s="11" t="s">
        <v>19</v>
      </c>
      <c r="F169" s="12"/>
      <c r="G169" s="12"/>
      <c r="H169" s="12">
        <v>45940</v>
      </c>
      <c r="I169" s="12">
        <v>46006</v>
      </c>
      <c r="J169" s="12"/>
      <c r="K169" s="3" t="str">
        <f t="shared" ca="1" si="8"/>
        <v>Eligible</v>
      </c>
      <c r="L169" s="27">
        <f t="shared" ca="1" si="7"/>
        <v>157</v>
      </c>
      <c r="M169" s="12" t="s">
        <v>96</v>
      </c>
    </row>
    <row r="170" spans="1:13" ht="14.45">
      <c r="A170" s="14">
        <v>169</v>
      </c>
      <c r="B170" s="10" t="s">
        <v>38</v>
      </c>
      <c r="C170" s="11" t="s">
        <v>385</v>
      </c>
      <c r="D170" s="11" t="s">
        <v>386</v>
      </c>
      <c r="E170" s="11" t="s">
        <v>19</v>
      </c>
      <c r="F170" s="12"/>
      <c r="G170" s="12"/>
      <c r="H170" s="12">
        <v>45919</v>
      </c>
      <c r="I170" s="12"/>
      <c r="J170" s="12">
        <v>46162</v>
      </c>
      <c r="K170" s="3" t="str">
        <f t="shared" ca="1" si="8"/>
        <v>Not Eligible</v>
      </c>
      <c r="L170" s="27">
        <f t="shared" ca="1" si="7"/>
        <v>1</v>
      </c>
      <c r="M170" s="12"/>
    </row>
    <row r="171" spans="1:13" ht="14.45">
      <c r="A171" s="10">
        <v>170</v>
      </c>
      <c r="B171" s="10" t="s">
        <v>30</v>
      </c>
      <c r="C171" s="11" t="s">
        <v>387</v>
      </c>
      <c r="D171" s="11" t="s">
        <v>388</v>
      </c>
      <c r="E171" s="11" t="s">
        <v>19</v>
      </c>
      <c r="F171" s="12">
        <v>46076</v>
      </c>
      <c r="G171" s="12">
        <v>46093</v>
      </c>
      <c r="H171" s="12">
        <v>45940</v>
      </c>
      <c r="I171" s="12">
        <v>46001</v>
      </c>
      <c r="J171" s="12"/>
      <c r="K171" s="3" t="str">
        <f t="shared" ca="1" si="8"/>
        <v>Eligible</v>
      </c>
      <c r="L171" s="27">
        <f t="shared" ca="1" si="7"/>
        <v>70</v>
      </c>
      <c r="M171" s="12"/>
    </row>
    <row r="172" spans="1:13" ht="14.45">
      <c r="A172" s="14">
        <v>171</v>
      </c>
      <c r="B172" s="10" t="s">
        <v>30</v>
      </c>
      <c r="C172" s="11" t="s">
        <v>389</v>
      </c>
      <c r="D172" s="11" t="s">
        <v>390</v>
      </c>
      <c r="E172" s="11" t="s">
        <v>57</v>
      </c>
      <c r="F172" s="12">
        <v>46071</v>
      </c>
      <c r="G172" s="12">
        <v>46083</v>
      </c>
      <c r="H172" s="12">
        <v>45910</v>
      </c>
      <c r="I172" s="12"/>
      <c r="J172" s="12">
        <v>46153</v>
      </c>
      <c r="K172" s="3" t="str">
        <f t="shared" ca="1" si="8"/>
        <v>Not Eligible</v>
      </c>
      <c r="L172" s="27">
        <f t="shared" ca="1" si="7"/>
        <v>10</v>
      </c>
      <c r="M172" s="12"/>
    </row>
    <row r="173" spans="1:13" ht="14.45">
      <c r="A173" s="10">
        <v>172</v>
      </c>
      <c r="B173" s="10" t="s">
        <v>39</v>
      </c>
      <c r="C173" s="11" t="s">
        <v>391</v>
      </c>
      <c r="D173" s="11" t="s">
        <v>392</v>
      </c>
      <c r="E173" s="11" t="s">
        <v>19</v>
      </c>
      <c r="F173" s="12">
        <v>46070</v>
      </c>
      <c r="G173" s="12">
        <v>46106</v>
      </c>
      <c r="H173" s="12">
        <v>45923</v>
      </c>
      <c r="I173" s="12"/>
      <c r="J173" s="12">
        <v>46135</v>
      </c>
      <c r="K173" s="3" t="str">
        <f t="shared" ca="1" si="8"/>
        <v>Not Eligible</v>
      </c>
      <c r="L173" s="27">
        <f t="shared" ca="1" si="7"/>
        <v>28</v>
      </c>
      <c r="M173" s="12"/>
    </row>
    <row r="174" spans="1:13" ht="14.45">
      <c r="A174" s="14">
        <v>173</v>
      </c>
      <c r="B174" s="10" t="s">
        <v>99</v>
      </c>
      <c r="C174" s="11" t="s">
        <v>393</v>
      </c>
      <c r="D174" s="11" t="s">
        <v>394</v>
      </c>
      <c r="E174" s="11" t="s">
        <v>19</v>
      </c>
      <c r="F174" s="12">
        <v>46051</v>
      </c>
      <c r="G174" s="12">
        <v>46098</v>
      </c>
      <c r="H174" s="12">
        <v>45930</v>
      </c>
      <c r="I174" s="12">
        <v>45971</v>
      </c>
      <c r="J174" s="12">
        <v>46056</v>
      </c>
      <c r="K174" s="3" t="str">
        <f t="shared" ca="1" si="8"/>
        <v>Eligible</v>
      </c>
      <c r="L174" s="27">
        <f t="shared" ca="1" si="7"/>
        <v>65</v>
      </c>
      <c r="M174" s="12"/>
    </row>
    <row r="175" spans="1:13" ht="14.45">
      <c r="A175" s="10">
        <v>174</v>
      </c>
      <c r="B175" s="10" t="s">
        <v>29</v>
      </c>
      <c r="C175" s="11" t="s">
        <v>395</v>
      </c>
      <c r="D175" s="11" t="s">
        <v>396</v>
      </c>
      <c r="E175" s="11" t="s">
        <v>19</v>
      </c>
      <c r="F175" s="12">
        <v>46056</v>
      </c>
      <c r="G175" s="12">
        <v>46085</v>
      </c>
      <c r="H175" s="12">
        <v>45931</v>
      </c>
      <c r="I175" s="12">
        <v>46000</v>
      </c>
      <c r="J175" s="12">
        <v>46133</v>
      </c>
      <c r="K175" s="3" t="str">
        <f t="shared" ca="1" si="8"/>
        <v>Not Eligible</v>
      </c>
      <c r="L175" s="27">
        <f t="shared" ca="1" si="7"/>
        <v>30</v>
      </c>
      <c r="M175" s="12"/>
    </row>
    <row r="176" spans="1:13" ht="14.45">
      <c r="A176" s="14">
        <v>175</v>
      </c>
      <c r="B176" s="10" t="s">
        <v>36</v>
      </c>
      <c r="C176" s="11" t="s">
        <v>397</v>
      </c>
      <c r="D176" s="11" t="s">
        <v>398</v>
      </c>
      <c r="E176" s="11" t="s">
        <v>19</v>
      </c>
      <c r="F176" s="12">
        <v>46055</v>
      </c>
      <c r="G176" s="12">
        <v>46085</v>
      </c>
      <c r="H176" s="12">
        <v>45940</v>
      </c>
      <c r="I176" s="12">
        <v>45958</v>
      </c>
      <c r="J176" s="12">
        <v>46139</v>
      </c>
      <c r="K176" s="3" t="str">
        <f t="shared" ca="1" si="8"/>
        <v>Not Eligible</v>
      </c>
      <c r="L176" s="27">
        <f t="shared" ca="1" si="7"/>
        <v>24</v>
      </c>
      <c r="M176" s="12"/>
    </row>
    <row r="177" spans="1:13" ht="14.45">
      <c r="A177" s="10">
        <v>176</v>
      </c>
      <c r="B177" s="10" t="s">
        <v>12</v>
      </c>
      <c r="C177" s="11" t="s">
        <v>17</v>
      </c>
      <c r="D177" s="11" t="s">
        <v>18</v>
      </c>
      <c r="E177" s="11" t="s">
        <v>19</v>
      </c>
      <c r="F177" s="12">
        <v>46077</v>
      </c>
      <c r="G177" s="12">
        <v>46086</v>
      </c>
      <c r="H177" s="12"/>
      <c r="I177" s="12"/>
      <c r="J177" s="12"/>
      <c r="K177" s="3" t="str">
        <f t="shared" ca="1" si="8"/>
        <v>Eligible</v>
      </c>
      <c r="L177" s="27">
        <f t="shared" ca="1" si="7"/>
        <v>77</v>
      </c>
      <c r="M177" s="12"/>
    </row>
    <row r="178" spans="1:13" ht="14.45">
      <c r="A178" s="14">
        <v>177</v>
      </c>
      <c r="B178" s="10" t="s">
        <v>29</v>
      </c>
      <c r="C178" s="11" t="s">
        <v>399</v>
      </c>
      <c r="D178" s="11" t="s">
        <v>400</v>
      </c>
      <c r="E178" s="11" t="s">
        <v>15</v>
      </c>
      <c r="F178" s="12">
        <v>46056</v>
      </c>
      <c r="G178" s="12">
        <v>46083</v>
      </c>
      <c r="H178" s="12">
        <v>45995</v>
      </c>
      <c r="I178" s="12">
        <v>45994</v>
      </c>
      <c r="J178" s="12">
        <v>46147</v>
      </c>
      <c r="K178" s="3" t="str">
        <f t="shared" ca="1" si="8"/>
        <v>Not Eligible</v>
      </c>
      <c r="L178" s="27">
        <f t="shared" ca="1" si="7"/>
        <v>16</v>
      </c>
      <c r="M178" s="12"/>
    </row>
    <row r="179" spans="1:13" ht="14.45">
      <c r="A179" s="10">
        <v>178</v>
      </c>
      <c r="B179" s="10" t="s">
        <v>30</v>
      </c>
      <c r="C179" s="11" t="s">
        <v>401</v>
      </c>
      <c r="D179" s="11" t="s">
        <v>402</v>
      </c>
      <c r="E179" s="11" t="s">
        <v>57</v>
      </c>
      <c r="F179" s="12">
        <v>46066</v>
      </c>
      <c r="G179" s="12">
        <v>46091</v>
      </c>
      <c r="H179" s="12">
        <v>45924</v>
      </c>
      <c r="I179" s="12">
        <v>45958</v>
      </c>
      <c r="J179" s="12"/>
      <c r="K179" s="3" t="str">
        <f t="shared" ca="1" si="8"/>
        <v>Eligible</v>
      </c>
      <c r="L179" s="27">
        <f t="shared" ca="1" si="7"/>
        <v>72</v>
      </c>
      <c r="M179" s="12"/>
    </row>
    <row r="180" spans="1:13" ht="14.45">
      <c r="A180" s="14">
        <v>179</v>
      </c>
      <c r="B180" s="10" t="s">
        <v>38</v>
      </c>
      <c r="C180" s="11" t="s">
        <v>403</v>
      </c>
      <c r="D180" s="11" t="s">
        <v>404</v>
      </c>
      <c r="E180" s="11" t="s">
        <v>405</v>
      </c>
      <c r="F180" s="12"/>
      <c r="G180" s="12"/>
      <c r="H180" s="12"/>
      <c r="I180" s="12"/>
      <c r="J180" s="12">
        <v>46143</v>
      </c>
      <c r="K180" s="3" t="str">
        <f t="shared" ca="1" si="8"/>
        <v>Not Eligible</v>
      </c>
      <c r="L180" s="27">
        <f t="shared" ca="1" si="7"/>
        <v>20</v>
      </c>
      <c r="M180" s="12"/>
    </row>
    <row r="181" spans="1:13" ht="14.45">
      <c r="A181" s="10">
        <v>180</v>
      </c>
      <c r="B181" s="10" t="s">
        <v>29</v>
      </c>
      <c r="C181" s="11" t="s">
        <v>406</v>
      </c>
      <c r="D181" s="11" t="s">
        <v>407</v>
      </c>
      <c r="E181" s="11" t="s">
        <v>15</v>
      </c>
      <c r="F181" s="12">
        <v>46063</v>
      </c>
      <c r="G181" s="12">
        <v>46085</v>
      </c>
      <c r="H181" s="12"/>
      <c r="I181" s="12">
        <v>46007</v>
      </c>
      <c r="J181" s="12">
        <v>46140</v>
      </c>
      <c r="K181" s="3" t="str">
        <f t="shared" ca="1" si="8"/>
        <v>Not Eligible</v>
      </c>
      <c r="L181" s="27">
        <f t="shared" ca="1" si="7"/>
        <v>23</v>
      </c>
      <c r="M181" s="12"/>
    </row>
    <row r="182" spans="1:13" ht="14.45">
      <c r="A182" s="14">
        <v>181</v>
      </c>
      <c r="B182" s="10" t="s">
        <v>33</v>
      </c>
      <c r="C182" s="11" t="s">
        <v>408</v>
      </c>
      <c r="D182" s="11" t="s">
        <v>409</v>
      </c>
      <c r="E182" s="11" t="s">
        <v>19</v>
      </c>
      <c r="F182" s="12">
        <v>46062</v>
      </c>
      <c r="G182" s="12"/>
      <c r="H182" s="12">
        <v>45931</v>
      </c>
      <c r="I182" s="12">
        <v>45961</v>
      </c>
      <c r="J182" s="12">
        <v>46132</v>
      </c>
      <c r="K182" s="3" t="str">
        <f t="shared" ca="1" si="8"/>
        <v>Not Eligible</v>
      </c>
      <c r="L182" s="27">
        <f t="shared" ca="1" si="7"/>
        <v>31</v>
      </c>
      <c r="M182" s="12"/>
    </row>
    <row r="183" spans="1:13" ht="14.45">
      <c r="A183" s="10">
        <v>182</v>
      </c>
      <c r="B183" s="10" t="s">
        <v>40</v>
      </c>
      <c r="C183" s="11" t="s">
        <v>410</v>
      </c>
      <c r="D183" s="11" t="s">
        <v>411</v>
      </c>
      <c r="E183" s="11" t="s">
        <v>19</v>
      </c>
      <c r="F183" s="12"/>
      <c r="G183" s="12">
        <v>46099</v>
      </c>
      <c r="H183" s="12">
        <v>45910</v>
      </c>
      <c r="I183" s="12">
        <v>45994</v>
      </c>
      <c r="J183" s="12"/>
      <c r="K183" s="3" t="str">
        <f t="shared" ca="1" si="8"/>
        <v>Eligible</v>
      </c>
      <c r="L183" s="27">
        <f t="shared" ca="1" si="7"/>
        <v>64</v>
      </c>
      <c r="M183" s="12"/>
    </row>
    <row r="184" spans="1:13" ht="14.45">
      <c r="A184" s="14">
        <v>183</v>
      </c>
      <c r="B184" s="10" t="s">
        <v>36</v>
      </c>
      <c r="C184" s="11" t="s">
        <v>412</v>
      </c>
      <c r="D184" s="11" t="s">
        <v>413</v>
      </c>
      <c r="E184" s="11" t="s">
        <v>19</v>
      </c>
      <c r="F184" s="12">
        <v>46055</v>
      </c>
      <c r="G184" s="12"/>
      <c r="H184" s="12">
        <v>45966</v>
      </c>
      <c r="I184" s="12">
        <v>46000</v>
      </c>
      <c r="J184" s="12"/>
      <c r="K184" s="3" t="str">
        <f t="shared" ca="1" si="8"/>
        <v>Eligible</v>
      </c>
      <c r="L184" s="27">
        <f t="shared" ca="1" si="7"/>
        <v>108</v>
      </c>
      <c r="M184" s="12" t="s">
        <v>96</v>
      </c>
    </row>
    <row r="185" spans="1:13" ht="14.45">
      <c r="A185" s="10">
        <v>184</v>
      </c>
      <c r="B185" s="10" t="s">
        <v>40</v>
      </c>
      <c r="C185" s="11" t="s">
        <v>414</v>
      </c>
      <c r="D185" s="11" t="s">
        <v>415</v>
      </c>
      <c r="E185" s="11" t="s">
        <v>19</v>
      </c>
      <c r="F185" s="12"/>
      <c r="G185" s="12"/>
      <c r="H185" s="12">
        <v>45919</v>
      </c>
      <c r="I185" s="12">
        <v>46000</v>
      </c>
      <c r="J185" s="12">
        <v>46133</v>
      </c>
      <c r="K185" s="3" t="str">
        <f t="shared" ca="1" si="8"/>
        <v>Not Eligible</v>
      </c>
      <c r="L185" s="27">
        <f t="shared" ca="1" si="7"/>
        <v>30</v>
      </c>
      <c r="M185" s="12"/>
    </row>
    <row r="186" spans="1:13">
      <c r="A186" s="14">
        <v>185</v>
      </c>
      <c r="B186" s="10" t="s">
        <v>40</v>
      </c>
      <c r="C186" s="11" t="s">
        <v>416</v>
      </c>
      <c r="D186" s="11" t="s">
        <v>417</v>
      </c>
      <c r="E186" s="11" t="s">
        <v>19</v>
      </c>
      <c r="F186" s="12"/>
      <c r="G186" s="12"/>
      <c r="H186" s="12">
        <v>45995</v>
      </c>
      <c r="I186" s="12"/>
      <c r="J186" s="17">
        <v>46162</v>
      </c>
      <c r="K186" s="3" t="str">
        <f t="shared" ca="1" si="8"/>
        <v>Not Eligible</v>
      </c>
      <c r="L186" s="27">
        <f t="shared" ca="1" si="7"/>
        <v>1</v>
      </c>
      <c r="M186" s="12"/>
    </row>
    <row r="187" spans="1:13" ht="14.45">
      <c r="A187" s="10">
        <v>186</v>
      </c>
      <c r="B187" s="10" t="s">
        <v>36</v>
      </c>
      <c r="C187" s="11" t="s">
        <v>418</v>
      </c>
      <c r="D187" s="11" t="s">
        <v>419</v>
      </c>
      <c r="E187" s="11" t="s">
        <v>19</v>
      </c>
      <c r="F187" s="12">
        <v>46077</v>
      </c>
      <c r="G187" s="12">
        <v>46099</v>
      </c>
      <c r="H187" s="12">
        <v>45966</v>
      </c>
      <c r="I187" s="12">
        <v>46007</v>
      </c>
      <c r="J187" s="12"/>
      <c r="K187" s="3" t="str">
        <f t="shared" ca="1" si="8"/>
        <v>Eligible</v>
      </c>
      <c r="L187" s="27">
        <f t="shared" ca="1" si="7"/>
        <v>64</v>
      </c>
      <c r="M187" s="12"/>
    </row>
    <row r="188" spans="1:13" ht="14.45">
      <c r="A188" s="14">
        <v>187</v>
      </c>
      <c r="B188" s="10" t="s">
        <v>33</v>
      </c>
      <c r="C188" s="11" t="s">
        <v>420</v>
      </c>
      <c r="D188" s="11" t="s">
        <v>421</v>
      </c>
      <c r="E188" s="11" t="s">
        <v>19</v>
      </c>
      <c r="F188" s="12">
        <v>46076</v>
      </c>
      <c r="G188" s="12"/>
      <c r="H188" s="12">
        <v>45940</v>
      </c>
      <c r="I188" s="12">
        <v>45965</v>
      </c>
      <c r="J188" s="12"/>
      <c r="K188" s="3" t="str">
        <f t="shared" ca="1" si="8"/>
        <v>Eligible</v>
      </c>
      <c r="L188" s="27">
        <f t="shared" ca="1" si="7"/>
        <v>87</v>
      </c>
      <c r="M188" s="12"/>
    </row>
    <row r="189" spans="1:13" ht="14.45">
      <c r="A189" s="10">
        <v>188</v>
      </c>
      <c r="B189" s="10" t="s">
        <v>41</v>
      </c>
      <c r="C189" s="11" t="s">
        <v>422</v>
      </c>
      <c r="D189" s="11" t="s">
        <v>423</v>
      </c>
      <c r="E189" s="11" t="s">
        <v>15</v>
      </c>
      <c r="F189" s="12">
        <v>46050</v>
      </c>
      <c r="G189" s="12">
        <v>46093</v>
      </c>
      <c r="H189" s="12">
        <v>45931</v>
      </c>
      <c r="I189" s="12">
        <v>46000</v>
      </c>
      <c r="J189" s="12">
        <v>46139</v>
      </c>
      <c r="K189" s="3" t="str">
        <f t="shared" ca="1" si="8"/>
        <v>Not Eligible</v>
      </c>
      <c r="L189" s="27">
        <f t="shared" ca="1" si="7"/>
        <v>24</v>
      </c>
      <c r="M189" s="12"/>
    </row>
    <row r="190" spans="1:13" ht="14.45">
      <c r="A190" s="14">
        <v>189</v>
      </c>
      <c r="B190" s="10" t="s">
        <v>12</v>
      </c>
      <c r="C190" s="11" t="s">
        <v>424</v>
      </c>
      <c r="D190" s="11" t="s">
        <v>425</v>
      </c>
      <c r="E190" s="11" t="s">
        <v>19</v>
      </c>
      <c r="F190" s="12"/>
      <c r="G190" s="12">
        <v>46099</v>
      </c>
      <c r="H190" s="12">
        <v>45930</v>
      </c>
      <c r="I190" s="12">
        <v>46001</v>
      </c>
      <c r="J190" s="12">
        <v>46139</v>
      </c>
      <c r="K190" s="3" t="str">
        <f t="shared" ca="1" si="8"/>
        <v>Not Eligible</v>
      </c>
      <c r="L190" s="27">
        <f t="shared" ca="1" si="7"/>
        <v>24</v>
      </c>
      <c r="M190" s="12"/>
    </row>
    <row r="191" spans="1:13" ht="14.45">
      <c r="A191" s="10">
        <v>190</v>
      </c>
      <c r="B191" s="10" t="s">
        <v>36</v>
      </c>
      <c r="C191" s="11" t="s">
        <v>426</v>
      </c>
      <c r="D191" s="11" t="s">
        <v>427</v>
      </c>
      <c r="E191" s="11" t="s">
        <v>15</v>
      </c>
      <c r="F191" s="12">
        <v>46051</v>
      </c>
      <c r="G191" s="12">
        <v>46093</v>
      </c>
      <c r="H191" s="12">
        <v>45974</v>
      </c>
      <c r="I191" s="12">
        <v>45994</v>
      </c>
      <c r="J191" s="12">
        <v>46148</v>
      </c>
      <c r="K191" s="3" t="str">
        <f t="shared" ca="1" si="8"/>
        <v>Not Eligible</v>
      </c>
      <c r="L191" s="27">
        <f t="shared" ca="1" si="7"/>
        <v>15</v>
      </c>
      <c r="M191" s="12"/>
    </row>
    <row r="192" spans="1:13" ht="14.45">
      <c r="A192" s="14">
        <v>191</v>
      </c>
      <c r="B192" s="10" t="s">
        <v>35</v>
      </c>
      <c r="C192" s="11" t="s">
        <v>428</v>
      </c>
      <c r="D192" s="11" t="s">
        <v>429</v>
      </c>
      <c r="E192" s="11" t="s">
        <v>71</v>
      </c>
      <c r="F192" s="12">
        <v>46064</v>
      </c>
      <c r="G192" s="12"/>
      <c r="H192" s="12">
        <v>45943</v>
      </c>
      <c r="I192" s="12">
        <v>45971</v>
      </c>
      <c r="J192" s="12">
        <v>46140</v>
      </c>
      <c r="K192" s="3" t="str">
        <f t="shared" ref="K192:K223" ca="1" si="9">IF(COUNT(F192,G192,H192,I192,J192)=0,"No Training Done",IF(TODAY()&lt; MAX(F192,G192,H192,I192,J192)+60,"Not Eligible","Eligible"))</f>
        <v>Not Eligible</v>
      </c>
      <c r="L192" s="27">
        <f t="shared" ca="1" si="7"/>
        <v>23</v>
      </c>
      <c r="M192" s="12"/>
    </row>
    <row r="193" spans="1:13" ht="14.45">
      <c r="A193" s="10">
        <v>192</v>
      </c>
      <c r="B193" s="10" t="s">
        <v>30</v>
      </c>
      <c r="C193" s="11" t="s">
        <v>430</v>
      </c>
      <c r="D193" s="11" t="s">
        <v>431</v>
      </c>
      <c r="E193" s="11" t="s">
        <v>19</v>
      </c>
      <c r="F193" s="12">
        <v>46063</v>
      </c>
      <c r="G193" s="12">
        <v>46085</v>
      </c>
      <c r="H193" s="12">
        <v>45919</v>
      </c>
      <c r="I193" s="12"/>
      <c r="J193" s="12">
        <v>46132</v>
      </c>
      <c r="K193" s="3" t="str">
        <f t="shared" ca="1" si="9"/>
        <v>Not Eligible</v>
      </c>
      <c r="L193" s="27">
        <f t="shared" ca="1" si="7"/>
        <v>31</v>
      </c>
      <c r="M193" s="12"/>
    </row>
    <row r="194" spans="1:13" ht="14.45">
      <c r="A194" s="14">
        <v>193</v>
      </c>
      <c r="B194" s="10" t="s">
        <v>30</v>
      </c>
      <c r="C194" s="11" t="s">
        <v>432</v>
      </c>
      <c r="D194" s="11" t="s">
        <v>433</v>
      </c>
      <c r="E194" s="11" t="s">
        <v>57</v>
      </c>
      <c r="F194" s="12">
        <v>46064</v>
      </c>
      <c r="G194" s="12">
        <v>46086</v>
      </c>
      <c r="H194" s="12">
        <v>45910</v>
      </c>
      <c r="I194" s="12">
        <v>45958</v>
      </c>
      <c r="J194" s="12">
        <v>46140</v>
      </c>
      <c r="K194" s="3" t="str">
        <f t="shared" ca="1" si="9"/>
        <v>Not Eligible</v>
      </c>
      <c r="L194" s="27">
        <f t="shared" ref="L194:L257" ca="1" si="10">IF(COUNT(F194:J194)=0,0,TODAY()-MAX(F194:J194))</f>
        <v>23</v>
      </c>
      <c r="M194" s="12"/>
    </row>
    <row r="195" spans="1:13" ht="14.45">
      <c r="A195" s="10">
        <v>194</v>
      </c>
      <c r="B195" s="10" t="s">
        <v>41</v>
      </c>
      <c r="C195" s="11" t="s">
        <v>434</v>
      </c>
      <c r="D195" s="11" t="s">
        <v>435</v>
      </c>
      <c r="E195" s="11" t="s">
        <v>15</v>
      </c>
      <c r="F195" s="12">
        <v>46066</v>
      </c>
      <c r="G195" s="12">
        <v>46099</v>
      </c>
      <c r="H195" s="12"/>
      <c r="I195" s="12">
        <v>46006</v>
      </c>
      <c r="J195" s="12"/>
      <c r="K195" s="3" t="str">
        <f t="shared" ca="1" si="9"/>
        <v>Eligible</v>
      </c>
      <c r="L195" s="27">
        <f t="shared" ca="1" si="10"/>
        <v>64</v>
      </c>
      <c r="M195" s="12"/>
    </row>
    <row r="196" spans="1:13" ht="14.45">
      <c r="A196" s="14">
        <v>195</v>
      </c>
      <c r="B196" s="10" t="s">
        <v>41</v>
      </c>
      <c r="C196" s="11" t="s">
        <v>436</v>
      </c>
      <c r="D196" s="11" t="s">
        <v>437</v>
      </c>
      <c r="E196" s="11" t="s">
        <v>19</v>
      </c>
      <c r="F196" s="12">
        <v>46078</v>
      </c>
      <c r="G196" s="12">
        <v>46106</v>
      </c>
      <c r="H196" s="12">
        <v>45974</v>
      </c>
      <c r="I196" s="12">
        <v>45994</v>
      </c>
      <c r="J196" s="12"/>
      <c r="K196" s="3" t="str">
        <f t="shared" ca="1" si="9"/>
        <v>Not Eligible</v>
      </c>
      <c r="L196" s="27">
        <f t="shared" ca="1" si="10"/>
        <v>57</v>
      </c>
      <c r="M196" s="12"/>
    </row>
    <row r="197" spans="1:13" ht="14.45">
      <c r="A197" s="10">
        <v>196</v>
      </c>
      <c r="B197" s="10" t="s">
        <v>32</v>
      </c>
      <c r="C197" s="11" t="s">
        <v>438</v>
      </c>
      <c r="D197" s="11" t="s">
        <v>439</v>
      </c>
      <c r="E197" s="11" t="s">
        <v>19</v>
      </c>
      <c r="F197" s="12">
        <v>46066</v>
      </c>
      <c r="G197" s="12">
        <v>46086</v>
      </c>
      <c r="H197" s="12">
        <v>45924</v>
      </c>
      <c r="I197" s="12">
        <v>45958</v>
      </c>
      <c r="J197" s="12">
        <v>46153</v>
      </c>
      <c r="K197" s="3" t="str">
        <f t="shared" ca="1" si="9"/>
        <v>Not Eligible</v>
      </c>
      <c r="L197" s="27">
        <f t="shared" ca="1" si="10"/>
        <v>10</v>
      </c>
      <c r="M197" s="12"/>
    </row>
    <row r="198" spans="1:13" ht="14.45">
      <c r="A198" s="14">
        <v>197</v>
      </c>
      <c r="B198" s="10" t="s">
        <v>41</v>
      </c>
      <c r="C198" s="11" t="s">
        <v>440</v>
      </c>
      <c r="D198" s="11" t="s">
        <v>441</v>
      </c>
      <c r="E198" s="11" t="s">
        <v>15</v>
      </c>
      <c r="F198" s="12">
        <v>46063</v>
      </c>
      <c r="G198" s="12">
        <v>46092</v>
      </c>
      <c r="H198" s="12">
        <v>45910</v>
      </c>
      <c r="I198" s="12">
        <v>45958</v>
      </c>
      <c r="J198" s="12">
        <v>46135</v>
      </c>
      <c r="K198" s="3" t="str">
        <f t="shared" ca="1" si="9"/>
        <v>Not Eligible</v>
      </c>
      <c r="L198" s="27">
        <f t="shared" ca="1" si="10"/>
        <v>28</v>
      </c>
      <c r="M198" s="12"/>
    </row>
    <row r="199" spans="1:13" ht="14.45">
      <c r="A199" s="10">
        <v>198</v>
      </c>
      <c r="B199" s="10" t="s">
        <v>36</v>
      </c>
      <c r="C199" s="11" t="s">
        <v>442</v>
      </c>
      <c r="D199" s="11" t="s">
        <v>443</v>
      </c>
      <c r="E199" s="11" t="s">
        <v>15</v>
      </c>
      <c r="F199" s="12">
        <v>46050</v>
      </c>
      <c r="G199" s="12">
        <v>46086</v>
      </c>
      <c r="H199" s="12">
        <v>45910</v>
      </c>
      <c r="I199" s="12">
        <v>45961</v>
      </c>
      <c r="J199" s="12">
        <v>46135</v>
      </c>
      <c r="K199" s="3" t="str">
        <f t="shared" ca="1" si="9"/>
        <v>Not Eligible</v>
      </c>
      <c r="L199" s="27">
        <f t="shared" ca="1" si="10"/>
        <v>28</v>
      </c>
      <c r="M199" s="12"/>
    </row>
    <row r="200" spans="1:13" ht="14.45">
      <c r="A200" s="14">
        <v>199</v>
      </c>
      <c r="B200" s="10" t="s">
        <v>30</v>
      </c>
      <c r="C200" s="11" t="s">
        <v>444</v>
      </c>
      <c r="D200" s="11" t="s">
        <v>445</v>
      </c>
      <c r="E200" s="11" t="s">
        <v>57</v>
      </c>
      <c r="F200" s="12">
        <v>46062</v>
      </c>
      <c r="G200" s="12">
        <v>46083</v>
      </c>
      <c r="H200" s="12">
        <v>45924</v>
      </c>
      <c r="I200" s="12">
        <v>46006</v>
      </c>
      <c r="J200" s="12"/>
      <c r="K200" s="3" t="str">
        <f t="shared" ca="1" si="9"/>
        <v>Eligible</v>
      </c>
      <c r="L200" s="27">
        <f t="shared" ca="1" si="10"/>
        <v>80</v>
      </c>
      <c r="M200" s="12"/>
    </row>
    <row r="201" spans="1:13" ht="14.45">
      <c r="A201" s="10">
        <v>200</v>
      </c>
      <c r="B201" s="10" t="s">
        <v>30</v>
      </c>
      <c r="C201" s="11" t="s">
        <v>446</v>
      </c>
      <c r="D201" s="11" t="s">
        <v>447</v>
      </c>
      <c r="E201" s="11" t="s">
        <v>19</v>
      </c>
      <c r="F201" s="12">
        <v>46056</v>
      </c>
      <c r="G201" s="12">
        <v>46092</v>
      </c>
      <c r="H201" s="12">
        <v>45924</v>
      </c>
      <c r="I201" s="12">
        <v>46006</v>
      </c>
      <c r="J201" s="12">
        <v>46154</v>
      </c>
      <c r="K201" s="3" t="str">
        <f t="shared" ca="1" si="9"/>
        <v>Not Eligible</v>
      </c>
      <c r="L201" s="27">
        <f t="shared" ca="1" si="10"/>
        <v>9</v>
      </c>
      <c r="M201" s="12"/>
    </row>
    <row r="202" spans="1:13" ht="14.45">
      <c r="A202" s="14">
        <v>201</v>
      </c>
      <c r="B202" s="10" t="s">
        <v>41</v>
      </c>
      <c r="C202" s="11" t="s">
        <v>448</v>
      </c>
      <c r="D202" s="11" t="s">
        <v>449</v>
      </c>
      <c r="E202" s="11" t="s">
        <v>15</v>
      </c>
      <c r="F202" s="12">
        <v>46070</v>
      </c>
      <c r="G202" s="12">
        <v>46083</v>
      </c>
      <c r="H202" s="12">
        <v>45943</v>
      </c>
      <c r="I202" s="12">
        <v>46006</v>
      </c>
      <c r="J202" s="12">
        <v>46132</v>
      </c>
      <c r="K202" s="3" t="str">
        <f t="shared" ca="1" si="9"/>
        <v>Not Eligible</v>
      </c>
      <c r="L202" s="27">
        <f t="shared" ca="1" si="10"/>
        <v>31</v>
      </c>
      <c r="M202" s="12"/>
    </row>
    <row r="203" spans="1:13" ht="14.45">
      <c r="A203" s="10">
        <v>202</v>
      </c>
      <c r="B203" s="10" t="s">
        <v>30</v>
      </c>
      <c r="C203" s="11" t="s">
        <v>450</v>
      </c>
      <c r="D203" s="11" t="s">
        <v>451</v>
      </c>
      <c r="E203" s="11" t="s">
        <v>19</v>
      </c>
      <c r="F203" s="12">
        <v>46057</v>
      </c>
      <c r="G203" s="12">
        <v>46085</v>
      </c>
      <c r="H203" s="12">
        <v>45923</v>
      </c>
      <c r="I203" s="12"/>
      <c r="J203" s="12">
        <v>46153</v>
      </c>
      <c r="K203" s="3" t="str">
        <f t="shared" ca="1" si="9"/>
        <v>Not Eligible</v>
      </c>
      <c r="L203" s="27">
        <f t="shared" ca="1" si="10"/>
        <v>10</v>
      </c>
      <c r="M203" s="12"/>
    </row>
    <row r="204" spans="1:13" ht="14.45">
      <c r="A204" s="14">
        <v>203</v>
      </c>
      <c r="B204" s="10" t="s">
        <v>36</v>
      </c>
      <c r="C204" s="11" t="s">
        <v>452</v>
      </c>
      <c r="D204" s="11" t="s">
        <v>453</v>
      </c>
      <c r="E204" s="11" t="s">
        <v>15</v>
      </c>
      <c r="F204" s="12">
        <v>46056</v>
      </c>
      <c r="G204" s="12">
        <v>46098</v>
      </c>
      <c r="H204" s="12">
        <v>45919</v>
      </c>
      <c r="I204" s="12">
        <v>45961</v>
      </c>
      <c r="J204" s="12"/>
      <c r="K204" s="3" t="str">
        <f t="shared" ca="1" si="9"/>
        <v>Eligible</v>
      </c>
      <c r="L204" s="27">
        <f t="shared" ca="1" si="10"/>
        <v>65</v>
      </c>
      <c r="M204" s="12"/>
    </row>
    <row r="205" spans="1:13" ht="14.45">
      <c r="A205" s="10">
        <v>204</v>
      </c>
      <c r="B205" s="10" t="s">
        <v>40</v>
      </c>
      <c r="C205" s="11" t="s">
        <v>454</v>
      </c>
      <c r="D205" s="11" t="s">
        <v>455</v>
      </c>
      <c r="E205" s="11" t="s">
        <v>19</v>
      </c>
      <c r="F205" s="12"/>
      <c r="G205" s="12"/>
      <c r="H205" s="12">
        <v>45930</v>
      </c>
      <c r="I205" s="12"/>
      <c r="J205" s="12">
        <v>46133</v>
      </c>
      <c r="K205" s="3" t="str">
        <f t="shared" ca="1" si="9"/>
        <v>Not Eligible</v>
      </c>
      <c r="L205" s="27">
        <f t="shared" ca="1" si="10"/>
        <v>30</v>
      </c>
      <c r="M205" s="12"/>
    </row>
    <row r="206" spans="1:13" ht="14.45">
      <c r="A206" s="14">
        <v>205</v>
      </c>
      <c r="B206" s="10" t="s">
        <v>33</v>
      </c>
      <c r="C206" s="11" t="s">
        <v>456</v>
      </c>
      <c r="D206" s="11" t="s">
        <v>457</v>
      </c>
      <c r="E206" s="11" t="s">
        <v>19</v>
      </c>
      <c r="F206" s="12">
        <v>46056</v>
      </c>
      <c r="G206" s="12"/>
      <c r="H206" s="12">
        <v>45931</v>
      </c>
      <c r="I206" s="12"/>
      <c r="J206" s="12"/>
      <c r="K206" s="3" t="str">
        <f t="shared" ca="1" si="9"/>
        <v>Eligible</v>
      </c>
      <c r="L206" s="27">
        <f t="shared" ca="1" si="10"/>
        <v>107</v>
      </c>
      <c r="M206" s="12" t="s">
        <v>96</v>
      </c>
    </row>
    <row r="207" spans="1:13" ht="14.45">
      <c r="A207" s="10">
        <v>206</v>
      </c>
      <c r="B207" s="10" t="s">
        <v>32</v>
      </c>
      <c r="C207" s="11" t="s">
        <v>458</v>
      </c>
      <c r="D207" s="11" t="s">
        <v>459</v>
      </c>
      <c r="E207" s="11" t="s">
        <v>15</v>
      </c>
      <c r="F207" s="12"/>
      <c r="G207" s="12"/>
      <c r="H207" s="12">
        <v>45919</v>
      </c>
      <c r="I207" s="12">
        <v>45958</v>
      </c>
      <c r="J207" s="12">
        <v>46132</v>
      </c>
      <c r="K207" s="3" t="str">
        <f t="shared" ca="1" si="9"/>
        <v>Not Eligible</v>
      </c>
      <c r="L207" s="27">
        <f t="shared" ca="1" si="10"/>
        <v>31</v>
      </c>
      <c r="M207" s="12"/>
    </row>
    <row r="208" spans="1:13" ht="14.45">
      <c r="A208" s="14">
        <v>207</v>
      </c>
      <c r="B208" s="10" t="s">
        <v>30</v>
      </c>
      <c r="C208" s="11" t="s">
        <v>460</v>
      </c>
      <c r="D208" s="11" t="s">
        <v>461</v>
      </c>
      <c r="E208" s="11" t="s">
        <v>19</v>
      </c>
      <c r="F208" s="12">
        <v>46077</v>
      </c>
      <c r="G208" s="12">
        <v>46099</v>
      </c>
      <c r="H208" s="12">
        <v>45931</v>
      </c>
      <c r="I208" s="12">
        <v>46001</v>
      </c>
      <c r="J208" s="12"/>
      <c r="K208" s="3" t="str">
        <f t="shared" ca="1" si="9"/>
        <v>Eligible</v>
      </c>
      <c r="L208" s="27">
        <f t="shared" ca="1" si="10"/>
        <v>64</v>
      </c>
      <c r="M208" s="12"/>
    </row>
    <row r="209" spans="1:13" ht="14.45">
      <c r="A209" s="10">
        <v>208</v>
      </c>
      <c r="B209" s="10" t="s">
        <v>30</v>
      </c>
      <c r="C209" s="11" t="s">
        <v>462</v>
      </c>
      <c r="D209" s="11" t="s">
        <v>463</v>
      </c>
      <c r="E209" s="11" t="s">
        <v>19</v>
      </c>
      <c r="F209" s="12">
        <v>46071</v>
      </c>
      <c r="G209" s="12">
        <v>46086</v>
      </c>
      <c r="H209" s="12">
        <v>45959</v>
      </c>
      <c r="I209" s="12">
        <v>45994</v>
      </c>
      <c r="J209" s="12">
        <v>46147</v>
      </c>
      <c r="K209" s="3" t="str">
        <f t="shared" ca="1" si="9"/>
        <v>Not Eligible</v>
      </c>
      <c r="L209" s="27">
        <f t="shared" ca="1" si="10"/>
        <v>16</v>
      </c>
      <c r="M209" s="12"/>
    </row>
    <row r="210" spans="1:13" ht="14.45">
      <c r="A210" s="14">
        <v>209</v>
      </c>
      <c r="B210" s="10" t="s">
        <v>31</v>
      </c>
      <c r="C210" s="11" t="s">
        <v>464</v>
      </c>
      <c r="D210" s="11" t="s">
        <v>465</v>
      </c>
      <c r="E210" s="11" t="s">
        <v>19</v>
      </c>
      <c r="F210" s="12"/>
      <c r="G210" s="12">
        <v>46092</v>
      </c>
      <c r="H210" s="12">
        <v>45930</v>
      </c>
      <c r="I210" s="12"/>
      <c r="J210" s="12"/>
      <c r="K210" s="3" t="str">
        <f t="shared" ca="1" si="9"/>
        <v>Eligible</v>
      </c>
      <c r="L210" s="27">
        <f t="shared" ca="1" si="10"/>
        <v>71</v>
      </c>
      <c r="M210" s="12"/>
    </row>
    <row r="211" spans="1:13">
      <c r="A211" s="10">
        <v>210</v>
      </c>
      <c r="B211" s="10" t="s">
        <v>40</v>
      </c>
      <c r="C211" s="11" t="s">
        <v>466</v>
      </c>
      <c r="D211" s="11" t="s">
        <v>467</v>
      </c>
      <c r="E211" s="11" t="s">
        <v>64</v>
      </c>
      <c r="F211" s="12"/>
      <c r="G211" s="12"/>
      <c r="H211" s="12">
        <v>45966</v>
      </c>
      <c r="I211" s="12">
        <v>45971</v>
      </c>
      <c r="J211" s="17">
        <v>46162</v>
      </c>
      <c r="K211" s="3" t="str">
        <f t="shared" ca="1" si="9"/>
        <v>Not Eligible</v>
      </c>
      <c r="L211" s="27">
        <f t="shared" ca="1" si="10"/>
        <v>1</v>
      </c>
      <c r="M211" s="12"/>
    </row>
    <row r="212" spans="1:13" ht="14.45">
      <c r="A212" s="14">
        <v>211</v>
      </c>
      <c r="B212" s="10" t="s">
        <v>40</v>
      </c>
      <c r="C212" s="11" t="s">
        <v>468</v>
      </c>
      <c r="D212" s="11" t="s">
        <v>469</v>
      </c>
      <c r="E212" s="11" t="s">
        <v>19</v>
      </c>
      <c r="F212" s="12"/>
      <c r="G212" s="12"/>
      <c r="H212" s="12">
        <v>45943</v>
      </c>
      <c r="I212" s="12">
        <v>45961</v>
      </c>
      <c r="J212" s="12">
        <v>46139</v>
      </c>
      <c r="K212" s="3" t="str">
        <f t="shared" ca="1" si="9"/>
        <v>Not Eligible</v>
      </c>
      <c r="L212" s="27">
        <f t="shared" ca="1" si="10"/>
        <v>24</v>
      </c>
      <c r="M212" s="12"/>
    </row>
    <row r="213" spans="1:13">
      <c r="A213" s="10">
        <v>212</v>
      </c>
      <c r="B213" s="10" t="s">
        <v>40</v>
      </c>
      <c r="C213" s="11" t="s">
        <v>470</v>
      </c>
      <c r="D213" s="11" t="s">
        <v>471</v>
      </c>
      <c r="E213" s="11" t="s">
        <v>19</v>
      </c>
      <c r="F213" s="12"/>
      <c r="G213" s="12"/>
      <c r="H213" s="12">
        <v>45995</v>
      </c>
      <c r="I213" s="12"/>
      <c r="J213" s="17">
        <v>46162</v>
      </c>
      <c r="K213" s="3" t="str">
        <f t="shared" ca="1" si="9"/>
        <v>Not Eligible</v>
      </c>
      <c r="L213" s="27">
        <f t="shared" ca="1" si="10"/>
        <v>1</v>
      </c>
      <c r="M213" s="12"/>
    </row>
    <row r="214" spans="1:13" ht="14.45">
      <c r="A214" s="14">
        <v>213</v>
      </c>
      <c r="B214" s="10" t="s">
        <v>41</v>
      </c>
      <c r="C214" s="11" t="s">
        <v>472</v>
      </c>
      <c r="D214" s="11" t="s">
        <v>473</v>
      </c>
      <c r="E214" s="11" t="s">
        <v>19</v>
      </c>
      <c r="F214" s="12">
        <v>46077</v>
      </c>
      <c r="G214" s="12"/>
      <c r="H214" s="12"/>
      <c r="I214" s="12"/>
      <c r="J214" s="12"/>
      <c r="K214" s="3" t="str">
        <f t="shared" ca="1" si="9"/>
        <v>Eligible</v>
      </c>
      <c r="L214" s="27">
        <f t="shared" ca="1" si="10"/>
        <v>86</v>
      </c>
      <c r="M214" s="12"/>
    </row>
    <row r="215" spans="1:13" ht="14.45">
      <c r="A215" s="10">
        <v>214</v>
      </c>
      <c r="B215" s="10" t="s">
        <v>32</v>
      </c>
      <c r="C215" s="11" t="s">
        <v>474</v>
      </c>
      <c r="D215" s="11" t="s">
        <v>475</v>
      </c>
      <c r="E215" s="11" t="s">
        <v>64</v>
      </c>
      <c r="F215" s="12"/>
      <c r="G215" s="12"/>
      <c r="H215" s="12"/>
      <c r="I215" s="12"/>
      <c r="J215" s="12">
        <v>46140</v>
      </c>
      <c r="K215" s="3" t="str">
        <f t="shared" ca="1" si="9"/>
        <v>Not Eligible</v>
      </c>
      <c r="L215" s="27">
        <f t="shared" ca="1" si="10"/>
        <v>23</v>
      </c>
      <c r="M215" s="12"/>
    </row>
    <row r="216" spans="1:13" ht="14.45">
      <c r="A216" s="14">
        <v>215</v>
      </c>
      <c r="B216" s="10" t="s">
        <v>29</v>
      </c>
      <c r="C216" s="11" t="s">
        <v>476</v>
      </c>
      <c r="D216" s="11" t="s">
        <v>477</v>
      </c>
      <c r="E216" s="11" t="s">
        <v>19</v>
      </c>
      <c r="F216" s="12">
        <v>46063</v>
      </c>
      <c r="G216" s="12">
        <v>46083</v>
      </c>
      <c r="H216" s="12">
        <v>45966</v>
      </c>
      <c r="I216" s="12">
        <v>46006</v>
      </c>
      <c r="J216" s="12">
        <v>46135</v>
      </c>
      <c r="K216" s="3" t="str">
        <f t="shared" ca="1" si="9"/>
        <v>Not Eligible</v>
      </c>
      <c r="L216" s="27">
        <f t="shared" ca="1" si="10"/>
        <v>28</v>
      </c>
      <c r="M216" s="12"/>
    </row>
    <row r="217" spans="1:13" ht="14.45">
      <c r="A217" s="10">
        <v>216</v>
      </c>
      <c r="B217" s="10" t="s">
        <v>32</v>
      </c>
      <c r="C217" s="11" t="s">
        <v>478</v>
      </c>
      <c r="D217" s="11" t="s">
        <v>479</v>
      </c>
      <c r="E217" s="11" t="s">
        <v>19</v>
      </c>
      <c r="F217" s="12"/>
      <c r="G217" s="12"/>
      <c r="H217" s="12">
        <v>45910</v>
      </c>
      <c r="I217" s="12">
        <v>45958</v>
      </c>
      <c r="J217" s="12"/>
      <c r="K217" s="3" t="str">
        <f t="shared" ca="1" si="9"/>
        <v>Eligible</v>
      </c>
      <c r="L217" s="27">
        <f t="shared" ca="1" si="10"/>
        <v>205</v>
      </c>
      <c r="M217" s="12" t="s">
        <v>96</v>
      </c>
    </row>
    <row r="218" spans="1:13" ht="14.45">
      <c r="A218" s="14">
        <v>217</v>
      </c>
      <c r="B218" s="10" t="s">
        <v>41</v>
      </c>
      <c r="C218" s="11" t="s">
        <v>480</v>
      </c>
      <c r="D218" s="11" t="s">
        <v>481</v>
      </c>
      <c r="E218" s="11" t="s">
        <v>15</v>
      </c>
      <c r="F218" s="12"/>
      <c r="G218" s="12">
        <v>46086</v>
      </c>
      <c r="H218" s="12">
        <v>45923</v>
      </c>
      <c r="I218" s="12"/>
      <c r="J218" s="12">
        <v>46139</v>
      </c>
      <c r="K218" s="3" t="str">
        <f t="shared" ca="1" si="9"/>
        <v>Not Eligible</v>
      </c>
      <c r="L218" s="27">
        <f t="shared" ca="1" si="10"/>
        <v>24</v>
      </c>
      <c r="M218" s="12"/>
    </row>
    <row r="219" spans="1:13" ht="14.45">
      <c r="A219" s="10">
        <v>218</v>
      </c>
      <c r="B219" s="10" t="s">
        <v>33</v>
      </c>
      <c r="C219" s="11" t="s">
        <v>482</v>
      </c>
      <c r="D219" s="11" t="s">
        <v>483</v>
      </c>
      <c r="E219" s="11" t="s">
        <v>19</v>
      </c>
      <c r="F219" s="12">
        <v>46051</v>
      </c>
      <c r="G219" s="12"/>
      <c r="H219" s="12">
        <v>45923</v>
      </c>
      <c r="I219" s="12">
        <v>45961</v>
      </c>
      <c r="J219" s="12">
        <v>46153</v>
      </c>
      <c r="K219" s="3" t="str">
        <f t="shared" ca="1" si="9"/>
        <v>Not Eligible</v>
      </c>
      <c r="L219" s="27">
        <f t="shared" ca="1" si="10"/>
        <v>10</v>
      </c>
      <c r="M219" s="12"/>
    </row>
    <row r="220" spans="1:13">
      <c r="A220" s="14">
        <v>219</v>
      </c>
      <c r="B220" s="10" t="s">
        <v>40</v>
      </c>
      <c r="C220" s="11" t="s">
        <v>484</v>
      </c>
      <c r="D220" s="11" t="s">
        <v>485</v>
      </c>
      <c r="E220" s="11" t="s">
        <v>19</v>
      </c>
      <c r="F220" s="12"/>
      <c r="G220" s="12"/>
      <c r="H220" s="12">
        <v>45995</v>
      </c>
      <c r="I220" s="12"/>
      <c r="J220" s="17">
        <v>46162</v>
      </c>
      <c r="K220" s="3" t="str">
        <f t="shared" ca="1" si="9"/>
        <v>Not Eligible</v>
      </c>
      <c r="L220" s="27">
        <f t="shared" ca="1" si="10"/>
        <v>1</v>
      </c>
      <c r="M220" s="12"/>
    </row>
    <row r="221" spans="1:13" ht="14.45">
      <c r="A221" s="10">
        <v>220</v>
      </c>
      <c r="B221" s="10" t="s">
        <v>33</v>
      </c>
      <c r="C221" s="11" t="s">
        <v>486</v>
      </c>
      <c r="D221" s="11" t="s">
        <v>487</v>
      </c>
      <c r="E221" s="11" t="s">
        <v>19</v>
      </c>
      <c r="F221" s="12">
        <v>46078</v>
      </c>
      <c r="G221" s="12"/>
      <c r="H221" s="12">
        <v>45974</v>
      </c>
      <c r="I221" s="12">
        <v>46006</v>
      </c>
      <c r="J221" s="12">
        <v>46153</v>
      </c>
      <c r="K221" s="3" t="str">
        <f t="shared" ca="1" si="9"/>
        <v>Not Eligible</v>
      </c>
      <c r="L221" s="27">
        <f t="shared" ca="1" si="10"/>
        <v>10</v>
      </c>
      <c r="M221" s="12"/>
    </row>
    <row r="222" spans="1:13" ht="14.45">
      <c r="A222" s="14">
        <v>221</v>
      </c>
      <c r="B222" s="10" t="s">
        <v>30</v>
      </c>
      <c r="C222" s="11" t="s">
        <v>488</v>
      </c>
      <c r="D222" s="11" t="s">
        <v>489</v>
      </c>
      <c r="E222" s="11" t="s">
        <v>57</v>
      </c>
      <c r="F222" s="12">
        <v>46056</v>
      </c>
      <c r="G222" s="12">
        <v>46091</v>
      </c>
      <c r="H222" s="12"/>
      <c r="I222" s="12"/>
      <c r="J222" s="12"/>
      <c r="K222" s="3" t="str">
        <f t="shared" ca="1" si="9"/>
        <v>Eligible</v>
      </c>
      <c r="L222" s="27">
        <f t="shared" ca="1" si="10"/>
        <v>72</v>
      </c>
      <c r="M222" s="12"/>
    </row>
    <row r="223" spans="1:13" ht="14.45">
      <c r="A223" s="10">
        <v>222</v>
      </c>
      <c r="B223" s="10" t="s">
        <v>38</v>
      </c>
      <c r="C223" s="11" t="s">
        <v>490</v>
      </c>
      <c r="D223" s="11" t="s">
        <v>491</v>
      </c>
      <c r="E223" s="11" t="s">
        <v>19</v>
      </c>
      <c r="F223" s="12"/>
      <c r="G223" s="12"/>
      <c r="H223" s="12"/>
      <c r="I223" s="12"/>
      <c r="J223" s="12">
        <v>45901</v>
      </c>
      <c r="K223" s="3" t="str">
        <f t="shared" ca="1" si="9"/>
        <v>Eligible</v>
      </c>
      <c r="L223" s="27">
        <f t="shared" ca="1" si="10"/>
        <v>262</v>
      </c>
      <c r="M223" s="12" t="s">
        <v>96</v>
      </c>
    </row>
    <row r="224" spans="1:13" ht="14.45">
      <c r="A224" s="14">
        <v>223</v>
      </c>
      <c r="B224" s="10" t="s">
        <v>30</v>
      </c>
      <c r="C224" s="11" t="s">
        <v>492</v>
      </c>
      <c r="D224" s="11" t="s">
        <v>493</v>
      </c>
      <c r="E224" s="11" t="s">
        <v>19</v>
      </c>
      <c r="F224" s="12">
        <v>46077</v>
      </c>
      <c r="G224" s="12">
        <v>46093</v>
      </c>
      <c r="H224" s="12">
        <v>45959</v>
      </c>
      <c r="I224" s="12">
        <v>46001</v>
      </c>
      <c r="J224" s="12"/>
      <c r="K224" s="3" t="str">
        <f t="shared" ref="K224:K255" ca="1" si="11">IF(COUNT(F224,G224,H224,I224,J224)=0,"No Training Done",IF(TODAY()&lt; MAX(F224,G224,H224,I224,J224)+60,"Not Eligible","Eligible"))</f>
        <v>Eligible</v>
      </c>
      <c r="L224" s="27">
        <f t="shared" ca="1" si="10"/>
        <v>70</v>
      </c>
      <c r="M224" s="12"/>
    </row>
    <row r="225" spans="1:13" ht="14.45">
      <c r="A225" s="10">
        <v>224</v>
      </c>
      <c r="B225" s="10" t="s">
        <v>30</v>
      </c>
      <c r="C225" s="11" t="s">
        <v>494</v>
      </c>
      <c r="D225" s="11" t="s">
        <v>495</v>
      </c>
      <c r="E225" s="11" t="s">
        <v>57</v>
      </c>
      <c r="F225" s="12">
        <v>46063</v>
      </c>
      <c r="G225" s="12">
        <v>46098</v>
      </c>
      <c r="H225" s="12">
        <v>45966</v>
      </c>
      <c r="I225" s="12"/>
      <c r="J225" s="12">
        <v>46154</v>
      </c>
      <c r="K225" s="3" t="str">
        <f t="shared" ca="1" si="11"/>
        <v>Not Eligible</v>
      </c>
      <c r="L225" s="27">
        <f t="shared" ca="1" si="10"/>
        <v>9</v>
      </c>
      <c r="M225" s="12"/>
    </row>
    <row r="226" spans="1:13" ht="14.45">
      <c r="A226" s="14">
        <v>225</v>
      </c>
      <c r="B226" s="10" t="s">
        <v>41</v>
      </c>
      <c r="C226" s="11" t="s">
        <v>496</v>
      </c>
      <c r="D226" s="11" t="s">
        <v>497</v>
      </c>
      <c r="E226" s="11" t="s">
        <v>15</v>
      </c>
      <c r="F226" s="12">
        <v>46071</v>
      </c>
      <c r="G226" s="12">
        <v>46085</v>
      </c>
      <c r="H226" s="12">
        <v>45943</v>
      </c>
      <c r="I226" s="12">
        <v>45965</v>
      </c>
      <c r="J226" s="12"/>
      <c r="K226" s="3" t="str">
        <f t="shared" ca="1" si="11"/>
        <v>Eligible</v>
      </c>
      <c r="L226" s="27">
        <f t="shared" ca="1" si="10"/>
        <v>78</v>
      </c>
      <c r="M226" s="12"/>
    </row>
    <row r="227" spans="1:13" ht="14.45">
      <c r="A227" s="10">
        <v>226</v>
      </c>
      <c r="B227" s="10" t="s">
        <v>40</v>
      </c>
      <c r="C227" s="11" t="s">
        <v>498</v>
      </c>
      <c r="D227" s="11" t="s">
        <v>499</v>
      </c>
      <c r="E227" s="11" t="s">
        <v>19</v>
      </c>
      <c r="F227" s="12"/>
      <c r="G227" s="12"/>
      <c r="H227" s="12">
        <v>45959</v>
      </c>
      <c r="I227" s="12"/>
      <c r="J227" s="12">
        <v>46139</v>
      </c>
      <c r="K227" s="3" t="str">
        <f t="shared" ca="1" si="11"/>
        <v>Not Eligible</v>
      </c>
      <c r="L227" s="27">
        <f t="shared" ca="1" si="10"/>
        <v>24</v>
      </c>
      <c r="M227" s="12"/>
    </row>
    <row r="228" spans="1:13" ht="14.45">
      <c r="A228" s="14">
        <v>227</v>
      </c>
      <c r="B228" s="10" t="s">
        <v>39</v>
      </c>
      <c r="C228" s="11" t="s">
        <v>500</v>
      </c>
      <c r="D228" s="11" t="s">
        <v>501</v>
      </c>
      <c r="E228" s="11" t="s">
        <v>19</v>
      </c>
      <c r="F228" s="12">
        <v>46055</v>
      </c>
      <c r="G228" s="12">
        <v>46105</v>
      </c>
      <c r="H228" s="12">
        <v>45919</v>
      </c>
      <c r="I228" s="12">
        <v>45994</v>
      </c>
      <c r="J228" s="12">
        <v>46135</v>
      </c>
      <c r="K228" s="3" t="str">
        <f t="shared" ca="1" si="11"/>
        <v>Not Eligible</v>
      </c>
      <c r="L228" s="27">
        <f t="shared" ca="1" si="10"/>
        <v>28</v>
      </c>
      <c r="M228" s="12"/>
    </row>
    <row r="229" spans="1:13" ht="14.45">
      <c r="A229" s="10">
        <v>228</v>
      </c>
      <c r="B229" s="10" t="s">
        <v>32</v>
      </c>
      <c r="C229" s="11" t="s">
        <v>502</v>
      </c>
      <c r="D229" s="11" t="s">
        <v>503</v>
      </c>
      <c r="E229" s="11" t="s">
        <v>19</v>
      </c>
      <c r="F229" s="12"/>
      <c r="G229" s="12"/>
      <c r="H229" s="12">
        <v>45919</v>
      </c>
      <c r="I229" s="12">
        <v>45965</v>
      </c>
      <c r="J229" s="12"/>
      <c r="K229" s="3" t="str">
        <f t="shared" ca="1" si="11"/>
        <v>Eligible</v>
      </c>
      <c r="L229" s="27">
        <f t="shared" ca="1" si="10"/>
        <v>198</v>
      </c>
      <c r="M229" s="12" t="s">
        <v>96</v>
      </c>
    </row>
    <row r="230" spans="1:13" ht="14.45">
      <c r="A230" s="14">
        <v>229</v>
      </c>
      <c r="B230" s="10" t="s">
        <v>33</v>
      </c>
      <c r="C230" s="11" t="s">
        <v>504</v>
      </c>
      <c r="D230" s="11" t="s">
        <v>505</v>
      </c>
      <c r="E230" s="11" t="s">
        <v>19</v>
      </c>
      <c r="F230" s="12">
        <v>46064</v>
      </c>
      <c r="G230" s="12"/>
      <c r="H230" s="12">
        <v>45943</v>
      </c>
      <c r="I230" s="12">
        <v>45961</v>
      </c>
      <c r="J230" s="12"/>
      <c r="K230" s="3" t="str">
        <f t="shared" ca="1" si="11"/>
        <v>Eligible</v>
      </c>
      <c r="L230" s="27">
        <f t="shared" ca="1" si="10"/>
        <v>99</v>
      </c>
      <c r="M230" s="12"/>
    </row>
    <row r="231" spans="1:13" ht="14.45">
      <c r="A231" s="10">
        <v>230</v>
      </c>
      <c r="B231" s="10" t="s">
        <v>31</v>
      </c>
      <c r="C231" s="11" t="s">
        <v>506</v>
      </c>
      <c r="D231" s="11" t="s">
        <v>507</v>
      </c>
      <c r="E231" s="11" t="s">
        <v>508</v>
      </c>
      <c r="F231" s="12"/>
      <c r="G231" s="12">
        <v>46098</v>
      </c>
      <c r="H231" s="12"/>
      <c r="I231" s="12"/>
      <c r="J231" s="12">
        <v>46140</v>
      </c>
      <c r="K231" s="3" t="str">
        <f t="shared" ca="1" si="11"/>
        <v>Not Eligible</v>
      </c>
      <c r="L231" s="27">
        <f t="shared" ca="1" si="10"/>
        <v>23</v>
      </c>
      <c r="M231" s="12"/>
    </row>
    <row r="232" spans="1:13" ht="14.45">
      <c r="A232" s="14">
        <v>231</v>
      </c>
      <c r="B232" s="10" t="s">
        <v>30</v>
      </c>
      <c r="C232" s="11" t="s">
        <v>509</v>
      </c>
      <c r="D232" s="11" t="s">
        <v>510</v>
      </c>
      <c r="E232" s="11" t="s">
        <v>57</v>
      </c>
      <c r="F232" s="12">
        <v>46055</v>
      </c>
      <c r="G232" s="12">
        <v>46091</v>
      </c>
      <c r="H232" s="12"/>
      <c r="I232" s="12"/>
      <c r="J232" s="12">
        <v>46139</v>
      </c>
      <c r="K232" s="3" t="str">
        <f t="shared" ca="1" si="11"/>
        <v>Not Eligible</v>
      </c>
      <c r="L232" s="27">
        <f t="shared" ca="1" si="10"/>
        <v>24</v>
      </c>
      <c r="M232" s="12"/>
    </row>
    <row r="233" spans="1:13" ht="14.45">
      <c r="A233" s="10">
        <v>232</v>
      </c>
      <c r="B233" s="10" t="s">
        <v>30</v>
      </c>
      <c r="C233" s="11" t="s">
        <v>511</v>
      </c>
      <c r="D233" s="11" t="s">
        <v>512</v>
      </c>
      <c r="E233" s="11" t="s">
        <v>57</v>
      </c>
      <c r="F233" s="12">
        <v>46050</v>
      </c>
      <c r="G233" s="12">
        <v>46085</v>
      </c>
      <c r="H233" s="12"/>
      <c r="I233" s="12"/>
      <c r="J233" s="12">
        <v>46139</v>
      </c>
      <c r="K233" s="3" t="str">
        <f t="shared" ca="1" si="11"/>
        <v>Not Eligible</v>
      </c>
      <c r="L233" s="27">
        <f t="shared" ca="1" si="10"/>
        <v>24</v>
      </c>
      <c r="M233" s="12"/>
    </row>
    <row r="234" spans="1:13" ht="14.45">
      <c r="A234" s="14">
        <v>233</v>
      </c>
      <c r="B234" s="10" t="s">
        <v>30</v>
      </c>
      <c r="C234" s="11" t="s">
        <v>513</v>
      </c>
      <c r="D234" s="11" t="s">
        <v>514</v>
      </c>
      <c r="E234" s="11" t="s">
        <v>19</v>
      </c>
      <c r="F234" s="12">
        <v>46065</v>
      </c>
      <c r="G234" s="12">
        <v>46083</v>
      </c>
      <c r="H234" s="12">
        <v>45923</v>
      </c>
      <c r="I234" s="12"/>
      <c r="J234" s="12"/>
      <c r="K234" s="3" t="str">
        <f t="shared" ca="1" si="11"/>
        <v>Eligible</v>
      </c>
      <c r="L234" s="27">
        <f t="shared" ca="1" si="10"/>
        <v>80</v>
      </c>
      <c r="M234" s="12"/>
    </row>
    <row r="235" spans="1:13" ht="14.45">
      <c r="A235" s="10">
        <v>234</v>
      </c>
      <c r="B235" s="10" t="s">
        <v>30</v>
      </c>
      <c r="C235" s="11" t="s">
        <v>515</v>
      </c>
      <c r="D235" s="11" t="s">
        <v>516</v>
      </c>
      <c r="E235" s="11" t="s">
        <v>57</v>
      </c>
      <c r="F235" s="12">
        <v>46050</v>
      </c>
      <c r="G235" s="12">
        <v>46083</v>
      </c>
      <c r="H235" s="12">
        <v>45930</v>
      </c>
      <c r="I235" s="12">
        <v>45994</v>
      </c>
      <c r="J235" s="12"/>
      <c r="K235" s="3" t="str">
        <f t="shared" ca="1" si="11"/>
        <v>Eligible</v>
      </c>
      <c r="L235" s="27">
        <f t="shared" ca="1" si="10"/>
        <v>80</v>
      </c>
      <c r="M235" s="12"/>
    </row>
    <row r="236" spans="1:13" ht="14.45">
      <c r="A236" s="14">
        <v>235</v>
      </c>
      <c r="B236" s="10" t="s">
        <v>40</v>
      </c>
      <c r="C236" s="11" t="s">
        <v>517</v>
      </c>
      <c r="D236" s="11" t="s">
        <v>518</v>
      </c>
      <c r="E236" s="11" t="s">
        <v>19</v>
      </c>
      <c r="F236" s="12"/>
      <c r="G236" s="12"/>
      <c r="H236" s="12">
        <v>45919</v>
      </c>
      <c r="I236" s="12"/>
      <c r="J236" s="12">
        <v>46147</v>
      </c>
      <c r="K236" s="3" t="str">
        <f t="shared" ca="1" si="11"/>
        <v>Not Eligible</v>
      </c>
      <c r="L236" s="27">
        <f t="shared" ca="1" si="10"/>
        <v>16</v>
      </c>
      <c r="M236" s="12"/>
    </row>
    <row r="237" spans="1:13" ht="14.45">
      <c r="A237" s="10">
        <v>236</v>
      </c>
      <c r="B237" s="10" t="s">
        <v>33</v>
      </c>
      <c r="C237" s="11" t="s">
        <v>519</v>
      </c>
      <c r="D237" s="11" t="s">
        <v>520</v>
      </c>
      <c r="E237" s="11" t="s">
        <v>19</v>
      </c>
      <c r="F237" s="12">
        <v>46065</v>
      </c>
      <c r="G237" s="12"/>
      <c r="H237" s="12">
        <v>45930</v>
      </c>
      <c r="I237" s="12">
        <v>45961</v>
      </c>
      <c r="J237" s="12">
        <v>46140</v>
      </c>
      <c r="K237" s="3" t="str">
        <f t="shared" ca="1" si="11"/>
        <v>Not Eligible</v>
      </c>
      <c r="L237" s="27">
        <f t="shared" ca="1" si="10"/>
        <v>23</v>
      </c>
      <c r="M237" s="12"/>
    </row>
    <row r="238" spans="1:13" ht="14.45">
      <c r="A238" s="14">
        <v>237</v>
      </c>
      <c r="B238" s="10" t="s">
        <v>41</v>
      </c>
      <c r="C238" s="11" t="s">
        <v>521</v>
      </c>
      <c r="D238" s="11" t="s">
        <v>522</v>
      </c>
      <c r="E238" s="11" t="s">
        <v>15</v>
      </c>
      <c r="F238" s="12"/>
      <c r="G238" s="12">
        <v>46105</v>
      </c>
      <c r="H238" s="12">
        <v>45919</v>
      </c>
      <c r="I238" s="12">
        <v>46000</v>
      </c>
      <c r="J238" s="12"/>
      <c r="K238" s="3" t="str">
        <f t="shared" ca="1" si="11"/>
        <v>Not Eligible</v>
      </c>
      <c r="L238" s="27">
        <f t="shared" ca="1" si="10"/>
        <v>58</v>
      </c>
      <c r="M238" s="12"/>
    </row>
    <row r="239" spans="1:13" ht="14.45">
      <c r="A239" s="10">
        <v>238</v>
      </c>
      <c r="B239" s="10" t="s">
        <v>30</v>
      </c>
      <c r="C239" s="11" t="s">
        <v>523</v>
      </c>
      <c r="D239" s="11" t="s">
        <v>524</v>
      </c>
      <c r="E239" s="11" t="s">
        <v>19</v>
      </c>
      <c r="F239" s="12">
        <v>46066</v>
      </c>
      <c r="G239" s="12">
        <v>46086</v>
      </c>
      <c r="H239" s="12">
        <v>45924</v>
      </c>
      <c r="I239" s="12">
        <v>46001</v>
      </c>
      <c r="J239" s="12">
        <v>46154</v>
      </c>
      <c r="K239" s="3" t="str">
        <f t="shared" ca="1" si="11"/>
        <v>Not Eligible</v>
      </c>
      <c r="L239" s="27">
        <f t="shared" ca="1" si="10"/>
        <v>9</v>
      </c>
      <c r="M239" s="12"/>
    </row>
    <row r="240" spans="1:13" ht="14.45">
      <c r="A240" s="14">
        <v>239</v>
      </c>
      <c r="B240" s="10" t="s">
        <v>28</v>
      </c>
      <c r="C240" s="11" t="s">
        <v>525</v>
      </c>
      <c r="D240" s="11" t="s">
        <v>526</v>
      </c>
      <c r="E240" s="11" t="s">
        <v>19</v>
      </c>
      <c r="F240" s="12"/>
      <c r="G240" s="12">
        <v>46098</v>
      </c>
      <c r="H240" s="12">
        <v>45974</v>
      </c>
      <c r="I240" s="12"/>
      <c r="J240" s="12">
        <v>46139</v>
      </c>
      <c r="K240" s="3" t="str">
        <f t="shared" ca="1" si="11"/>
        <v>Not Eligible</v>
      </c>
      <c r="L240" s="27">
        <f t="shared" ca="1" si="10"/>
        <v>24</v>
      </c>
      <c r="M240" s="12"/>
    </row>
    <row r="241" spans="1:13" ht="14.45">
      <c r="A241" s="10">
        <v>240</v>
      </c>
      <c r="B241" s="10" t="s">
        <v>12</v>
      </c>
      <c r="C241" s="11" t="s">
        <v>527</v>
      </c>
      <c r="D241" s="11" t="s">
        <v>528</v>
      </c>
      <c r="E241" s="11" t="s">
        <v>15</v>
      </c>
      <c r="F241" s="12">
        <v>46056</v>
      </c>
      <c r="G241" s="12">
        <v>46083</v>
      </c>
      <c r="H241" s="12">
        <v>45940</v>
      </c>
      <c r="I241" s="12">
        <v>45958</v>
      </c>
      <c r="J241" s="12">
        <v>46133</v>
      </c>
      <c r="K241" s="3" t="str">
        <f t="shared" ca="1" si="11"/>
        <v>Not Eligible</v>
      </c>
      <c r="L241" s="27">
        <f t="shared" ca="1" si="10"/>
        <v>30</v>
      </c>
      <c r="M241" s="12"/>
    </row>
    <row r="242" spans="1:13" ht="14.45">
      <c r="A242" s="14">
        <v>241</v>
      </c>
      <c r="B242" s="10" t="s">
        <v>41</v>
      </c>
      <c r="C242" s="11" t="s">
        <v>529</v>
      </c>
      <c r="D242" s="11" t="s">
        <v>530</v>
      </c>
      <c r="E242" s="11" t="s">
        <v>19</v>
      </c>
      <c r="F242" s="12"/>
      <c r="G242" s="12"/>
      <c r="H242" s="12"/>
      <c r="I242" s="12"/>
      <c r="J242" s="12">
        <v>46154</v>
      </c>
      <c r="K242" s="3" t="str">
        <f t="shared" ca="1" si="11"/>
        <v>Not Eligible</v>
      </c>
      <c r="L242" s="27">
        <f t="shared" ca="1" si="10"/>
        <v>9</v>
      </c>
      <c r="M242" s="12"/>
    </row>
    <row r="243" spans="1:13" ht="14.45">
      <c r="A243" s="10">
        <v>242</v>
      </c>
      <c r="B243" s="10" t="s">
        <v>32</v>
      </c>
      <c r="C243" s="11" t="s">
        <v>531</v>
      </c>
      <c r="D243" s="11" t="s">
        <v>532</v>
      </c>
      <c r="E243" s="11" t="s">
        <v>64</v>
      </c>
      <c r="F243" s="12"/>
      <c r="G243" s="12"/>
      <c r="H243" s="12">
        <v>45924</v>
      </c>
      <c r="I243" s="12"/>
      <c r="J243" s="12"/>
      <c r="K243" s="3" t="str">
        <f t="shared" ca="1" si="11"/>
        <v>Eligible</v>
      </c>
      <c r="L243" s="27">
        <f t="shared" ca="1" si="10"/>
        <v>239</v>
      </c>
      <c r="M243" s="12" t="s">
        <v>96</v>
      </c>
    </row>
    <row r="244" spans="1:13" ht="14.45">
      <c r="A244" s="14">
        <v>243</v>
      </c>
      <c r="B244" s="10" t="s">
        <v>40</v>
      </c>
      <c r="C244" s="11" t="s">
        <v>533</v>
      </c>
      <c r="D244" s="11" t="s">
        <v>534</v>
      </c>
      <c r="E244" s="11" t="s">
        <v>19</v>
      </c>
      <c r="F244" s="12"/>
      <c r="G244" s="12"/>
      <c r="H244" s="12">
        <v>45974</v>
      </c>
      <c r="I244" s="12"/>
      <c r="J244" s="12">
        <v>46132</v>
      </c>
      <c r="K244" s="3" t="str">
        <f t="shared" ca="1" si="11"/>
        <v>Not Eligible</v>
      </c>
      <c r="L244" s="27">
        <f t="shared" ca="1" si="10"/>
        <v>31</v>
      </c>
      <c r="M244" s="12"/>
    </row>
    <row r="245" spans="1:13" ht="14.45">
      <c r="A245" s="10">
        <v>244</v>
      </c>
      <c r="B245" s="10" t="s">
        <v>41</v>
      </c>
      <c r="C245" s="11" t="s">
        <v>535</v>
      </c>
      <c r="D245" s="11" t="s">
        <v>536</v>
      </c>
      <c r="E245" s="11" t="s">
        <v>19</v>
      </c>
      <c r="F245" s="12"/>
      <c r="G245" s="12"/>
      <c r="H245" s="12">
        <v>45995</v>
      </c>
      <c r="I245" s="12">
        <v>46000</v>
      </c>
      <c r="J245" s="12">
        <v>46154</v>
      </c>
      <c r="K245" s="3" t="str">
        <f t="shared" ca="1" si="11"/>
        <v>Not Eligible</v>
      </c>
      <c r="L245" s="27">
        <f t="shared" ca="1" si="10"/>
        <v>9</v>
      </c>
      <c r="M245" s="12"/>
    </row>
    <row r="246" spans="1:13" ht="14.45">
      <c r="A246" s="14">
        <v>245</v>
      </c>
      <c r="B246" s="10" t="s">
        <v>29</v>
      </c>
      <c r="C246" s="11" t="s">
        <v>537</v>
      </c>
      <c r="D246" s="11" t="s">
        <v>538</v>
      </c>
      <c r="E246" s="11" t="s">
        <v>19</v>
      </c>
      <c r="F246" s="12">
        <v>46070</v>
      </c>
      <c r="G246" s="12">
        <v>46092</v>
      </c>
      <c r="H246" s="12">
        <v>45910</v>
      </c>
      <c r="I246" s="12">
        <v>45958</v>
      </c>
      <c r="J246" s="12">
        <v>46148</v>
      </c>
      <c r="K246" s="3" t="str">
        <f t="shared" ca="1" si="11"/>
        <v>Not Eligible</v>
      </c>
      <c r="L246" s="27">
        <f t="shared" ca="1" si="10"/>
        <v>15</v>
      </c>
      <c r="M246" s="12"/>
    </row>
    <row r="247" spans="1:13" ht="14.45">
      <c r="A247" s="10">
        <v>246</v>
      </c>
      <c r="B247" s="10" t="s">
        <v>30</v>
      </c>
      <c r="C247" s="11" t="s">
        <v>539</v>
      </c>
      <c r="D247" s="11" t="s">
        <v>540</v>
      </c>
      <c r="E247" s="11" t="s">
        <v>19</v>
      </c>
      <c r="F247" s="12">
        <v>46070</v>
      </c>
      <c r="G247" s="12">
        <v>46083</v>
      </c>
      <c r="H247" s="12">
        <v>45910</v>
      </c>
      <c r="I247" s="12">
        <v>45994</v>
      </c>
      <c r="J247" s="12"/>
      <c r="K247" s="3" t="str">
        <f t="shared" ca="1" si="11"/>
        <v>Eligible</v>
      </c>
      <c r="L247" s="27">
        <f t="shared" ca="1" si="10"/>
        <v>80</v>
      </c>
      <c r="M247" s="12"/>
    </row>
    <row r="248" spans="1:13" ht="14.45">
      <c r="A248" s="14">
        <v>247</v>
      </c>
      <c r="B248" s="10" t="s">
        <v>30</v>
      </c>
      <c r="C248" s="11" t="s">
        <v>541</v>
      </c>
      <c r="D248" s="11" t="s">
        <v>542</v>
      </c>
      <c r="E248" s="11" t="s">
        <v>57</v>
      </c>
      <c r="F248" s="12">
        <v>46051</v>
      </c>
      <c r="G248" s="12">
        <v>46105</v>
      </c>
      <c r="H248" s="12"/>
      <c r="I248" s="12"/>
      <c r="J248" s="12">
        <v>46154</v>
      </c>
      <c r="K248" s="3" t="str">
        <f t="shared" ca="1" si="11"/>
        <v>Not Eligible</v>
      </c>
      <c r="L248" s="27">
        <f t="shared" ca="1" si="10"/>
        <v>9</v>
      </c>
      <c r="M248" s="12"/>
    </row>
    <row r="249" spans="1:13" ht="14.45">
      <c r="A249" s="10">
        <v>248</v>
      </c>
      <c r="B249" s="10" t="s">
        <v>41</v>
      </c>
      <c r="C249" s="11" t="s">
        <v>543</v>
      </c>
      <c r="D249" s="11" t="s">
        <v>544</v>
      </c>
      <c r="E249" s="11" t="s">
        <v>19</v>
      </c>
      <c r="F249" s="12">
        <v>46049</v>
      </c>
      <c r="G249" s="12"/>
      <c r="H249" s="12"/>
      <c r="I249" s="12">
        <v>46007</v>
      </c>
      <c r="J249" s="12">
        <v>46154</v>
      </c>
      <c r="K249" s="3" t="str">
        <f t="shared" ca="1" si="11"/>
        <v>Not Eligible</v>
      </c>
      <c r="L249" s="27">
        <f t="shared" ca="1" si="10"/>
        <v>9</v>
      </c>
      <c r="M249" s="12"/>
    </row>
    <row r="250" spans="1:13" ht="14.45">
      <c r="A250" s="14">
        <v>249</v>
      </c>
      <c r="B250" s="10" t="s">
        <v>33</v>
      </c>
      <c r="C250" s="11" t="s">
        <v>545</v>
      </c>
      <c r="D250" s="11" t="s">
        <v>546</v>
      </c>
      <c r="E250" s="11" t="s">
        <v>19</v>
      </c>
      <c r="F250" s="12">
        <v>46077</v>
      </c>
      <c r="G250" s="12"/>
      <c r="H250" s="12"/>
      <c r="I250" s="12"/>
      <c r="J250" s="12">
        <v>46141</v>
      </c>
      <c r="K250" s="3" t="str">
        <f t="shared" ca="1" si="11"/>
        <v>Not Eligible</v>
      </c>
      <c r="L250" s="27">
        <f t="shared" ca="1" si="10"/>
        <v>22</v>
      </c>
      <c r="M250" s="12"/>
    </row>
    <row r="251" spans="1:13" ht="14.45">
      <c r="A251" s="10">
        <v>250</v>
      </c>
      <c r="B251" s="10" t="s">
        <v>30</v>
      </c>
      <c r="C251" s="11" t="s">
        <v>547</v>
      </c>
      <c r="D251" s="11" t="s">
        <v>548</v>
      </c>
      <c r="E251" s="11" t="s">
        <v>15</v>
      </c>
      <c r="F251" s="12">
        <v>46076</v>
      </c>
      <c r="G251" s="12">
        <v>46092</v>
      </c>
      <c r="H251" s="12">
        <v>45940</v>
      </c>
      <c r="I251" s="12">
        <v>46001</v>
      </c>
      <c r="J251" s="12">
        <v>46154</v>
      </c>
      <c r="K251" s="3" t="str">
        <f t="shared" ca="1" si="11"/>
        <v>Not Eligible</v>
      </c>
      <c r="L251" s="27">
        <f t="shared" ca="1" si="10"/>
        <v>9</v>
      </c>
      <c r="M251" s="12"/>
    </row>
    <row r="252" spans="1:13" ht="14.45">
      <c r="A252" s="14">
        <v>251</v>
      </c>
      <c r="B252" s="10" t="s">
        <v>30</v>
      </c>
      <c r="C252" s="11" t="s">
        <v>549</v>
      </c>
      <c r="D252" s="11" t="s">
        <v>550</v>
      </c>
      <c r="E252" s="11" t="s">
        <v>57</v>
      </c>
      <c r="F252" s="12">
        <v>46062</v>
      </c>
      <c r="G252" s="12">
        <v>46086</v>
      </c>
      <c r="H252" s="12"/>
      <c r="I252" s="12"/>
      <c r="J252" s="12"/>
      <c r="K252" s="3" t="str">
        <f t="shared" ca="1" si="11"/>
        <v>Eligible</v>
      </c>
      <c r="L252" s="27">
        <f t="shared" ca="1" si="10"/>
        <v>77</v>
      </c>
      <c r="M252" s="12"/>
    </row>
    <row r="253" spans="1:13" ht="14.45">
      <c r="A253" s="10">
        <v>252</v>
      </c>
      <c r="B253" s="10" t="s">
        <v>12</v>
      </c>
      <c r="C253" s="11" t="s">
        <v>551</v>
      </c>
      <c r="D253" s="11" t="s">
        <v>552</v>
      </c>
      <c r="E253" s="11" t="s">
        <v>19</v>
      </c>
      <c r="F253" s="12">
        <v>46049</v>
      </c>
      <c r="G253" s="12">
        <v>46097</v>
      </c>
      <c r="H253" s="12">
        <v>45943</v>
      </c>
      <c r="I253" s="12">
        <v>46000</v>
      </c>
      <c r="J253" s="12">
        <v>46154</v>
      </c>
      <c r="K253" s="3" t="str">
        <f t="shared" ca="1" si="11"/>
        <v>Not Eligible</v>
      </c>
      <c r="L253" s="27">
        <f t="shared" ca="1" si="10"/>
        <v>9</v>
      </c>
      <c r="M253" s="12"/>
    </row>
    <row r="254" spans="1:13" ht="14.45">
      <c r="A254" s="14">
        <v>253</v>
      </c>
      <c r="B254" s="10" t="s">
        <v>41</v>
      </c>
      <c r="C254" s="11" t="s">
        <v>553</v>
      </c>
      <c r="D254" s="11" t="s">
        <v>554</v>
      </c>
      <c r="E254" s="11" t="s">
        <v>15</v>
      </c>
      <c r="F254" s="12">
        <v>46078</v>
      </c>
      <c r="G254" s="12">
        <v>46106</v>
      </c>
      <c r="H254" s="12"/>
      <c r="I254" s="12"/>
      <c r="J254" s="12"/>
      <c r="K254" s="3" t="str">
        <f t="shared" ca="1" si="11"/>
        <v>Not Eligible</v>
      </c>
      <c r="L254" s="27">
        <f t="shared" ca="1" si="10"/>
        <v>57</v>
      </c>
      <c r="M254" s="12"/>
    </row>
    <row r="255" spans="1:13">
      <c r="A255" s="10">
        <v>254</v>
      </c>
      <c r="B255" s="10" t="s">
        <v>40</v>
      </c>
      <c r="C255" s="11" t="s">
        <v>555</v>
      </c>
      <c r="D255" s="11" t="s">
        <v>556</v>
      </c>
      <c r="E255" s="11" t="s">
        <v>64</v>
      </c>
      <c r="F255" s="12"/>
      <c r="G255" s="12"/>
      <c r="H255" s="12"/>
      <c r="I255" s="12"/>
      <c r="J255" s="17">
        <v>46162</v>
      </c>
      <c r="K255" s="3" t="str">
        <f t="shared" ca="1" si="11"/>
        <v>Not Eligible</v>
      </c>
      <c r="L255" s="27">
        <f t="shared" ca="1" si="10"/>
        <v>1</v>
      </c>
      <c r="M255" s="12"/>
    </row>
    <row r="256" spans="1:13" ht="14.45">
      <c r="A256" s="14">
        <v>255</v>
      </c>
      <c r="B256" s="10" t="s">
        <v>36</v>
      </c>
      <c r="C256" s="11" t="s">
        <v>557</v>
      </c>
      <c r="D256" s="11" t="s">
        <v>558</v>
      </c>
      <c r="E256" s="11" t="s">
        <v>15</v>
      </c>
      <c r="F256" s="12">
        <v>46062</v>
      </c>
      <c r="G256" s="12"/>
      <c r="H256" s="12">
        <v>45919</v>
      </c>
      <c r="I256" s="12">
        <v>45971</v>
      </c>
      <c r="J256" s="12">
        <v>46139</v>
      </c>
      <c r="K256" s="3" t="str">
        <f t="shared" ref="K256:K285" ca="1" si="12">IF(COUNT(F256,G256,H256,I256,J256)=0,"No Training Done",IF(TODAY()&lt; MAX(F256,G256,H256,I256,J256)+60,"Not Eligible","Eligible"))</f>
        <v>Not Eligible</v>
      </c>
      <c r="L256" s="27">
        <f t="shared" ca="1" si="10"/>
        <v>24</v>
      </c>
      <c r="M256" s="12"/>
    </row>
    <row r="257" spans="1:13" ht="14.45">
      <c r="A257" s="10">
        <v>256</v>
      </c>
      <c r="B257" s="10" t="s">
        <v>12</v>
      </c>
      <c r="C257" s="11" t="s">
        <v>13</v>
      </c>
      <c r="D257" s="11" t="s">
        <v>14</v>
      </c>
      <c r="E257" s="11" t="s">
        <v>15</v>
      </c>
      <c r="F257" s="12">
        <v>46049</v>
      </c>
      <c r="G257" s="12">
        <v>46092</v>
      </c>
      <c r="H257" s="12">
        <v>45923</v>
      </c>
      <c r="I257" s="12">
        <v>46006</v>
      </c>
      <c r="J257" s="12"/>
      <c r="K257" s="3" t="str">
        <f t="shared" ca="1" si="12"/>
        <v>Eligible</v>
      </c>
      <c r="L257" s="27">
        <f t="shared" ca="1" si="10"/>
        <v>71</v>
      </c>
      <c r="M257" s="12"/>
    </row>
    <row r="258" spans="1:13" ht="14.45">
      <c r="A258" s="14">
        <v>257</v>
      </c>
      <c r="B258" s="10" t="s">
        <v>40</v>
      </c>
      <c r="C258" s="11" t="s">
        <v>559</v>
      </c>
      <c r="D258" s="11" t="s">
        <v>560</v>
      </c>
      <c r="E258" s="11" t="s">
        <v>64</v>
      </c>
      <c r="F258" s="12"/>
      <c r="G258" s="12"/>
      <c r="H258" s="12"/>
      <c r="I258" s="12"/>
      <c r="J258" s="12">
        <v>46153</v>
      </c>
      <c r="K258" s="3" t="str">
        <f t="shared" ca="1" si="12"/>
        <v>Not Eligible</v>
      </c>
      <c r="L258" s="27">
        <f t="shared" ref="L258:L285" ca="1" si="13">IF(COUNT(F258:J258)=0,0,TODAY()-MAX(F258:J258))</f>
        <v>10</v>
      </c>
      <c r="M258" s="12"/>
    </row>
    <row r="259" spans="1:13" ht="14.45">
      <c r="A259" s="10">
        <v>258</v>
      </c>
      <c r="B259" s="10" t="s">
        <v>30</v>
      </c>
      <c r="C259" s="11" t="s">
        <v>561</v>
      </c>
      <c r="D259" s="11" t="s">
        <v>562</v>
      </c>
      <c r="E259" s="11" t="s">
        <v>19</v>
      </c>
      <c r="F259" s="12">
        <v>46076</v>
      </c>
      <c r="G259" s="12">
        <v>46099</v>
      </c>
      <c r="H259" s="12">
        <v>45966</v>
      </c>
      <c r="I259" s="12">
        <v>46006</v>
      </c>
      <c r="J259" s="12">
        <v>46133</v>
      </c>
      <c r="K259" s="3" t="str">
        <f t="shared" ca="1" si="12"/>
        <v>Not Eligible</v>
      </c>
      <c r="L259" s="27">
        <f t="shared" ca="1" si="13"/>
        <v>30</v>
      </c>
      <c r="M259" s="12"/>
    </row>
    <row r="260" spans="1:13" ht="14.45">
      <c r="A260" s="14">
        <v>259</v>
      </c>
      <c r="B260" s="10" t="s">
        <v>32</v>
      </c>
      <c r="C260" s="11" t="s">
        <v>563</v>
      </c>
      <c r="D260" s="11" t="s">
        <v>564</v>
      </c>
      <c r="E260" s="11" t="s">
        <v>64</v>
      </c>
      <c r="F260" s="12"/>
      <c r="G260" s="12"/>
      <c r="H260" s="12">
        <v>45924</v>
      </c>
      <c r="I260" s="12">
        <v>45971</v>
      </c>
      <c r="J260" s="12">
        <v>46133</v>
      </c>
      <c r="K260" s="3" t="str">
        <f t="shared" ca="1" si="12"/>
        <v>Not Eligible</v>
      </c>
      <c r="L260" s="27">
        <f t="shared" ca="1" si="13"/>
        <v>30</v>
      </c>
      <c r="M260" s="12"/>
    </row>
    <row r="261" spans="1:13">
      <c r="A261" s="10">
        <v>260</v>
      </c>
      <c r="B261" s="10" t="s">
        <v>40</v>
      </c>
      <c r="C261" s="11" t="s">
        <v>565</v>
      </c>
      <c r="D261" s="11" t="s">
        <v>566</v>
      </c>
      <c r="E261" s="11" t="s">
        <v>19</v>
      </c>
      <c r="F261" s="12"/>
      <c r="G261" s="12"/>
      <c r="H261" s="12">
        <v>45930</v>
      </c>
      <c r="I261" s="12">
        <v>45965</v>
      </c>
      <c r="J261" s="17">
        <v>46162</v>
      </c>
      <c r="K261" s="3" t="str">
        <f t="shared" ca="1" si="12"/>
        <v>Not Eligible</v>
      </c>
      <c r="L261" s="27">
        <f t="shared" ca="1" si="13"/>
        <v>1</v>
      </c>
      <c r="M261" s="12"/>
    </row>
    <row r="262" spans="1:13" ht="14.45">
      <c r="A262" s="14">
        <v>261</v>
      </c>
      <c r="B262" s="10" t="s">
        <v>39</v>
      </c>
      <c r="C262" s="11" t="s">
        <v>567</v>
      </c>
      <c r="D262" s="11" t="s">
        <v>568</v>
      </c>
      <c r="E262" s="11" t="s">
        <v>569</v>
      </c>
      <c r="F262" s="12">
        <v>46070</v>
      </c>
      <c r="G262" s="12">
        <v>46086</v>
      </c>
      <c r="H262" s="12">
        <v>45924</v>
      </c>
      <c r="I262" s="12"/>
      <c r="J262" s="12">
        <v>46133</v>
      </c>
      <c r="K262" s="3" t="str">
        <f t="shared" ca="1" si="12"/>
        <v>Not Eligible</v>
      </c>
      <c r="L262" s="27">
        <f t="shared" ca="1" si="13"/>
        <v>30</v>
      </c>
      <c r="M262" s="12"/>
    </row>
    <row r="263" spans="1:13" ht="14.45">
      <c r="A263" s="10">
        <v>262</v>
      </c>
      <c r="B263" s="10" t="s">
        <v>32</v>
      </c>
      <c r="C263" s="11" t="s">
        <v>570</v>
      </c>
      <c r="D263" s="11" t="s">
        <v>571</v>
      </c>
      <c r="E263" s="11" t="s">
        <v>19</v>
      </c>
      <c r="F263" s="12"/>
      <c r="G263" s="12"/>
      <c r="H263" s="12">
        <v>45910</v>
      </c>
      <c r="I263" s="12"/>
      <c r="J263" s="12">
        <v>46132</v>
      </c>
      <c r="K263" s="3" t="str">
        <f t="shared" ca="1" si="12"/>
        <v>Not Eligible</v>
      </c>
      <c r="L263" s="27">
        <f t="shared" ca="1" si="13"/>
        <v>31</v>
      </c>
      <c r="M263" s="12"/>
    </row>
    <row r="264" spans="1:13" ht="14.45">
      <c r="A264" s="14">
        <v>263</v>
      </c>
      <c r="B264" s="10" t="s">
        <v>41</v>
      </c>
      <c r="C264" s="11" t="s">
        <v>572</v>
      </c>
      <c r="D264" s="11" t="s">
        <v>573</v>
      </c>
      <c r="E264" s="11" t="s">
        <v>19</v>
      </c>
      <c r="F264" s="12">
        <v>46078</v>
      </c>
      <c r="G264" s="12"/>
      <c r="H264" s="12">
        <v>45943</v>
      </c>
      <c r="I264" s="12"/>
      <c r="J264" s="12"/>
      <c r="K264" s="3" t="str">
        <f t="shared" ca="1" si="12"/>
        <v>Eligible</v>
      </c>
      <c r="L264" s="27">
        <f t="shared" ca="1" si="13"/>
        <v>85</v>
      </c>
      <c r="M264" s="12"/>
    </row>
    <row r="265" spans="1:13" ht="14.45">
      <c r="A265" s="10">
        <v>264</v>
      </c>
      <c r="B265" s="10" t="s">
        <v>40</v>
      </c>
      <c r="C265" s="11" t="s">
        <v>574</v>
      </c>
      <c r="D265" s="11" t="s">
        <v>575</v>
      </c>
      <c r="E265" s="11" t="s">
        <v>19</v>
      </c>
      <c r="F265" s="12"/>
      <c r="G265" s="12"/>
      <c r="H265" s="12">
        <v>45995</v>
      </c>
      <c r="I265" s="12"/>
      <c r="J265" s="12">
        <v>46148</v>
      </c>
      <c r="K265" s="3" t="str">
        <f t="shared" ca="1" si="12"/>
        <v>Not Eligible</v>
      </c>
      <c r="L265" s="27">
        <f t="shared" ca="1" si="13"/>
        <v>15</v>
      </c>
      <c r="M265" s="12"/>
    </row>
    <row r="266" spans="1:13" ht="14.45">
      <c r="A266" s="14">
        <v>265</v>
      </c>
      <c r="B266" s="10" t="s">
        <v>41</v>
      </c>
      <c r="C266" s="11" t="s">
        <v>576</v>
      </c>
      <c r="D266" s="11" t="s">
        <v>577</v>
      </c>
      <c r="E266" s="11" t="s">
        <v>15</v>
      </c>
      <c r="F266" s="12">
        <v>46049</v>
      </c>
      <c r="G266" s="12">
        <v>46097</v>
      </c>
      <c r="H266" s="12">
        <v>45929</v>
      </c>
      <c r="I266" s="12">
        <v>45958</v>
      </c>
      <c r="J266" s="12"/>
      <c r="K266" s="3" t="str">
        <f t="shared" ca="1" si="12"/>
        <v>Eligible</v>
      </c>
      <c r="L266" s="27">
        <f t="shared" ca="1" si="13"/>
        <v>66</v>
      </c>
      <c r="M266" s="12"/>
    </row>
    <row r="267" spans="1:13" ht="14.45">
      <c r="A267" s="10">
        <v>266</v>
      </c>
      <c r="B267" s="10" t="s">
        <v>29</v>
      </c>
      <c r="C267" s="11" t="s">
        <v>578</v>
      </c>
      <c r="D267" s="11" t="s">
        <v>579</v>
      </c>
      <c r="E267" s="11" t="s">
        <v>19</v>
      </c>
      <c r="F267" s="12">
        <v>46063</v>
      </c>
      <c r="G267" s="12">
        <v>46092</v>
      </c>
      <c r="H267" s="12">
        <v>45974</v>
      </c>
      <c r="I267" s="12">
        <v>46001</v>
      </c>
      <c r="J267" s="12">
        <v>46141</v>
      </c>
      <c r="K267" s="3" t="str">
        <f t="shared" ca="1" si="12"/>
        <v>Not Eligible</v>
      </c>
      <c r="L267" s="27">
        <f t="shared" ca="1" si="13"/>
        <v>22</v>
      </c>
      <c r="M267" s="12"/>
    </row>
    <row r="268" spans="1:13" ht="14.45">
      <c r="A268" s="14">
        <v>267</v>
      </c>
      <c r="B268" s="10" t="s">
        <v>41</v>
      </c>
      <c r="C268" s="11" t="s">
        <v>580</v>
      </c>
      <c r="D268" s="11" t="s">
        <v>581</v>
      </c>
      <c r="E268" s="11" t="s">
        <v>19</v>
      </c>
      <c r="F268" s="12">
        <v>46071</v>
      </c>
      <c r="G268" s="12">
        <v>46106</v>
      </c>
      <c r="H268" s="12">
        <v>45943</v>
      </c>
      <c r="I268" s="12"/>
      <c r="J268" s="12"/>
      <c r="K268" s="3" t="str">
        <f t="shared" ca="1" si="12"/>
        <v>Not Eligible</v>
      </c>
      <c r="L268" s="27">
        <f t="shared" ca="1" si="13"/>
        <v>57</v>
      </c>
      <c r="M268" s="12"/>
    </row>
    <row r="269" spans="1:13" ht="14.45">
      <c r="A269" s="10">
        <v>268</v>
      </c>
      <c r="B269" s="10" t="s">
        <v>32</v>
      </c>
      <c r="C269" s="11" t="s">
        <v>582</v>
      </c>
      <c r="D269" s="11" t="s">
        <v>583</v>
      </c>
      <c r="E269" s="11" t="s">
        <v>19</v>
      </c>
      <c r="F269" s="12"/>
      <c r="G269" s="12"/>
      <c r="H269" s="12"/>
      <c r="I269" s="12"/>
      <c r="J269" s="12"/>
      <c r="K269" s="3" t="str">
        <f t="shared" ca="1" si="12"/>
        <v>No Training Done</v>
      </c>
      <c r="L269" s="27">
        <f t="shared" ca="1" si="13"/>
        <v>0</v>
      </c>
      <c r="M269" s="12" t="s">
        <v>96</v>
      </c>
    </row>
    <row r="270" spans="1:13" ht="14.45">
      <c r="A270" s="14">
        <v>269</v>
      </c>
      <c r="B270" s="10" t="s">
        <v>40</v>
      </c>
      <c r="C270" s="11" t="s">
        <v>584</v>
      </c>
      <c r="D270" s="11" t="s">
        <v>585</v>
      </c>
      <c r="E270" s="11" t="s">
        <v>19</v>
      </c>
      <c r="F270" s="12"/>
      <c r="G270" s="12"/>
      <c r="H270" s="12">
        <v>45940</v>
      </c>
      <c r="I270" s="12">
        <v>45994</v>
      </c>
      <c r="J270" s="12">
        <v>46133</v>
      </c>
      <c r="K270" s="3" t="str">
        <f t="shared" ca="1" si="12"/>
        <v>Not Eligible</v>
      </c>
      <c r="L270" s="27">
        <f t="shared" ca="1" si="13"/>
        <v>30</v>
      </c>
      <c r="M270" s="12"/>
    </row>
    <row r="271" spans="1:13">
      <c r="A271" s="10">
        <v>270</v>
      </c>
      <c r="B271" s="10" t="s">
        <v>40</v>
      </c>
      <c r="C271" s="11" t="s">
        <v>586</v>
      </c>
      <c r="D271" s="11" t="s">
        <v>587</v>
      </c>
      <c r="E271" s="11" t="s">
        <v>19</v>
      </c>
      <c r="F271" s="12"/>
      <c r="G271" s="12"/>
      <c r="H271" s="12">
        <v>45959</v>
      </c>
      <c r="I271" s="12"/>
      <c r="J271" s="17">
        <v>46162</v>
      </c>
      <c r="K271" s="3" t="str">
        <f t="shared" ca="1" si="12"/>
        <v>Not Eligible</v>
      </c>
      <c r="L271" s="27">
        <f t="shared" ca="1" si="13"/>
        <v>1</v>
      </c>
      <c r="M271" s="12"/>
    </row>
    <row r="272" spans="1:13" ht="14.45">
      <c r="A272" s="14">
        <v>271</v>
      </c>
      <c r="B272" s="10" t="s">
        <v>12</v>
      </c>
      <c r="C272" s="11" t="s">
        <v>588</v>
      </c>
      <c r="D272" s="11" t="s">
        <v>589</v>
      </c>
      <c r="E272" s="11" t="s">
        <v>19</v>
      </c>
      <c r="F272" s="12">
        <v>46077</v>
      </c>
      <c r="G272" s="12">
        <v>46086</v>
      </c>
      <c r="H272" s="12">
        <v>45910</v>
      </c>
      <c r="I272" s="12">
        <v>46000</v>
      </c>
      <c r="J272" s="12">
        <v>46132</v>
      </c>
      <c r="K272" s="3" t="str">
        <f t="shared" ca="1" si="12"/>
        <v>Not Eligible</v>
      </c>
      <c r="L272" s="27">
        <f t="shared" ca="1" si="13"/>
        <v>31</v>
      </c>
      <c r="M272" s="12"/>
    </row>
    <row r="273" spans="1:13" ht="14.45">
      <c r="A273" s="10">
        <v>272</v>
      </c>
      <c r="B273" s="10" t="s">
        <v>30</v>
      </c>
      <c r="C273" s="11" t="s">
        <v>590</v>
      </c>
      <c r="D273" s="11" t="s">
        <v>591</v>
      </c>
      <c r="E273" s="11" t="s">
        <v>57</v>
      </c>
      <c r="F273" s="12">
        <v>46057</v>
      </c>
      <c r="G273" s="12">
        <v>46085</v>
      </c>
      <c r="H273" s="12">
        <v>45995</v>
      </c>
      <c r="I273" s="12"/>
      <c r="J273" s="12"/>
      <c r="K273" s="3" t="str">
        <f t="shared" ca="1" si="12"/>
        <v>Eligible</v>
      </c>
      <c r="L273" s="27">
        <f t="shared" ca="1" si="13"/>
        <v>78</v>
      </c>
      <c r="M273" s="12"/>
    </row>
    <row r="274" spans="1:13" ht="14.45">
      <c r="A274" s="14">
        <v>273</v>
      </c>
      <c r="B274" s="10" t="s">
        <v>40</v>
      </c>
      <c r="C274" s="11" t="s">
        <v>592</v>
      </c>
      <c r="D274" s="11" t="s">
        <v>593</v>
      </c>
      <c r="E274" s="11" t="s">
        <v>19</v>
      </c>
      <c r="F274" s="12"/>
      <c r="G274" s="12"/>
      <c r="H274" s="12">
        <v>45940</v>
      </c>
      <c r="I274" s="12"/>
      <c r="J274" s="12">
        <v>46135</v>
      </c>
      <c r="K274" s="3" t="str">
        <f t="shared" ca="1" si="12"/>
        <v>Not Eligible</v>
      </c>
      <c r="L274" s="27">
        <f t="shared" ca="1" si="13"/>
        <v>28</v>
      </c>
      <c r="M274" s="12"/>
    </row>
    <row r="275" spans="1:13" ht="14.45">
      <c r="A275" s="10">
        <v>274</v>
      </c>
      <c r="B275" s="10" t="s">
        <v>40</v>
      </c>
      <c r="C275" s="11" t="s">
        <v>594</v>
      </c>
      <c r="D275" s="11" t="s">
        <v>595</v>
      </c>
      <c r="E275" s="11" t="s">
        <v>19</v>
      </c>
      <c r="F275" s="12"/>
      <c r="G275" s="12"/>
      <c r="H275" s="12">
        <v>45910</v>
      </c>
      <c r="I275" s="12"/>
      <c r="J275" s="12">
        <v>46153</v>
      </c>
      <c r="K275" s="3" t="str">
        <f t="shared" ca="1" si="12"/>
        <v>Not Eligible</v>
      </c>
      <c r="L275" s="27">
        <f t="shared" ca="1" si="13"/>
        <v>10</v>
      </c>
      <c r="M275" s="12"/>
    </row>
    <row r="276" spans="1:13" ht="14.45">
      <c r="A276" s="14">
        <v>275</v>
      </c>
      <c r="B276" s="10" t="s">
        <v>33</v>
      </c>
      <c r="C276" s="11" t="s">
        <v>596</v>
      </c>
      <c r="D276" s="11" t="s">
        <v>597</v>
      </c>
      <c r="E276" s="11" t="s">
        <v>19</v>
      </c>
      <c r="F276" s="12">
        <v>46055</v>
      </c>
      <c r="G276" s="12"/>
      <c r="H276" s="12">
        <v>45924</v>
      </c>
      <c r="I276" s="12">
        <v>45971</v>
      </c>
      <c r="J276" s="12"/>
      <c r="K276" s="3" t="str">
        <f t="shared" ca="1" si="12"/>
        <v>Eligible</v>
      </c>
      <c r="L276" s="27">
        <f t="shared" ca="1" si="13"/>
        <v>108</v>
      </c>
      <c r="M276" s="12" t="s">
        <v>96</v>
      </c>
    </row>
    <row r="277" spans="1:13" ht="14.45">
      <c r="A277" s="10">
        <v>276</v>
      </c>
      <c r="B277" s="10" t="s">
        <v>99</v>
      </c>
      <c r="C277" s="11" t="s">
        <v>598</v>
      </c>
      <c r="D277" s="11" t="s">
        <v>599</v>
      </c>
      <c r="E277" s="11" t="s">
        <v>19</v>
      </c>
      <c r="F277" s="12">
        <v>45876</v>
      </c>
      <c r="G277" s="12">
        <v>45903</v>
      </c>
      <c r="H277" s="12">
        <v>45940</v>
      </c>
      <c r="I277" s="12"/>
      <c r="J277" s="12">
        <v>45992</v>
      </c>
      <c r="K277" s="3" t="str">
        <f t="shared" ca="1" si="12"/>
        <v>Eligible</v>
      </c>
      <c r="L277" s="27">
        <f t="shared" ca="1" si="13"/>
        <v>171</v>
      </c>
      <c r="M277" s="12" t="s">
        <v>96</v>
      </c>
    </row>
    <row r="278" spans="1:13" ht="14.45">
      <c r="A278" s="14">
        <v>277</v>
      </c>
      <c r="B278" s="10" t="s">
        <v>30</v>
      </c>
      <c r="C278" s="11" t="s">
        <v>600</v>
      </c>
      <c r="D278" s="11" t="s">
        <v>601</v>
      </c>
      <c r="E278" s="11" t="s">
        <v>19</v>
      </c>
      <c r="F278" s="12">
        <v>46076</v>
      </c>
      <c r="G278" s="12">
        <v>46093</v>
      </c>
      <c r="H278" s="12">
        <v>45931</v>
      </c>
      <c r="I278" s="12"/>
      <c r="J278" s="12">
        <v>46148</v>
      </c>
      <c r="K278" s="3" t="str">
        <f t="shared" ca="1" si="12"/>
        <v>Not Eligible</v>
      </c>
      <c r="L278" s="27">
        <f t="shared" ca="1" si="13"/>
        <v>15</v>
      </c>
      <c r="M278" s="12"/>
    </row>
    <row r="279" spans="1:13" ht="14.45">
      <c r="A279" s="10">
        <v>278</v>
      </c>
      <c r="B279" s="10" t="s">
        <v>99</v>
      </c>
      <c r="C279" s="11" t="s">
        <v>602</v>
      </c>
      <c r="D279" s="11" t="s">
        <v>603</v>
      </c>
      <c r="E279" s="11" t="s">
        <v>19</v>
      </c>
      <c r="F279" s="12">
        <v>46056</v>
      </c>
      <c r="G279" s="12">
        <v>46085</v>
      </c>
      <c r="H279" s="12">
        <v>45923</v>
      </c>
      <c r="I279" s="12">
        <v>45965</v>
      </c>
      <c r="J279" s="12">
        <v>46132</v>
      </c>
      <c r="K279" s="3" t="str">
        <f t="shared" ca="1" si="12"/>
        <v>Not Eligible</v>
      </c>
      <c r="L279" s="27">
        <f t="shared" ca="1" si="13"/>
        <v>31</v>
      </c>
      <c r="M279" s="12"/>
    </row>
    <row r="280" spans="1:13" ht="14.45">
      <c r="A280" s="14">
        <v>279</v>
      </c>
      <c r="B280" s="10" t="s">
        <v>30</v>
      </c>
      <c r="C280" s="11" t="s">
        <v>604</v>
      </c>
      <c r="D280" s="11" t="s">
        <v>605</v>
      </c>
      <c r="E280" s="11" t="s">
        <v>57</v>
      </c>
      <c r="F280" s="12">
        <v>46062</v>
      </c>
      <c r="G280" s="12">
        <v>46086</v>
      </c>
      <c r="H280" s="12"/>
      <c r="I280" s="12"/>
      <c r="J280" s="12">
        <v>46147</v>
      </c>
      <c r="K280" s="3" t="str">
        <f t="shared" ca="1" si="12"/>
        <v>Not Eligible</v>
      </c>
      <c r="L280" s="27">
        <f t="shared" ca="1" si="13"/>
        <v>16</v>
      </c>
      <c r="M280" s="12"/>
    </row>
    <row r="281" spans="1:13" ht="14.45">
      <c r="A281" s="10">
        <v>280</v>
      </c>
      <c r="B281" s="10" t="s">
        <v>32</v>
      </c>
      <c r="C281" s="11" t="s">
        <v>606</v>
      </c>
      <c r="D281" s="11" t="s">
        <v>607</v>
      </c>
      <c r="E281" s="11" t="s">
        <v>19</v>
      </c>
      <c r="F281" s="12"/>
      <c r="G281" s="12"/>
      <c r="H281" s="12">
        <v>45929</v>
      </c>
      <c r="I281" s="12"/>
      <c r="J281" s="12">
        <v>46140</v>
      </c>
      <c r="K281" s="3" t="str">
        <f t="shared" ca="1" si="12"/>
        <v>Not Eligible</v>
      </c>
      <c r="L281" s="27">
        <f t="shared" ca="1" si="13"/>
        <v>23</v>
      </c>
      <c r="M281" s="12"/>
    </row>
    <row r="282" spans="1:13" ht="14.45">
      <c r="A282" s="14">
        <v>281</v>
      </c>
      <c r="B282" s="10" t="s">
        <v>41</v>
      </c>
      <c r="C282" s="11" t="s">
        <v>608</v>
      </c>
      <c r="D282" s="11" t="s">
        <v>609</v>
      </c>
      <c r="E282" s="11" t="s">
        <v>19</v>
      </c>
      <c r="F282" s="12">
        <v>46071</v>
      </c>
      <c r="G282" s="12"/>
      <c r="H282" s="12">
        <v>45919</v>
      </c>
      <c r="I282" s="12">
        <v>45994</v>
      </c>
      <c r="J282" s="12"/>
      <c r="K282" s="3" t="str">
        <f t="shared" ca="1" si="12"/>
        <v>Eligible</v>
      </c>
      <c r="L282" s="27">
        <f t="shared" ca="1" si="13"/>
        <v>92</v>
      </c>
      <c r="M282" s="12"/>
    </row>
    <row r="283" spans="1:13" ht="14.45">
      <c r="A283" s="10">
        <v>282</v>
      </c>
      <c r="B283" s="10" t="s">
        <v>41</v>
      </c>
      <c r="C283" s="11" t="s">
        <v>610</v>
      </c>
      <c r="D283" s="11" t="s">
        <v>611</v>
      </c>
      <c r="E283" s="11" t="s">
        <v>19</v>
      </c>
      <c r="F283" s="12"/>
      <c r="G283" s="12">
        <v>46085</v>
      </c>
      <c r="H283" s="12">
        <v>45995</v>
      </c>
      <c r="I283" s="12"/>
      <c r="J283" s="12"/>
      <c r="K283" s="3" t="str">
        <f t="shared" ca="1" si="12"/>
        <v>Eligible</v>
      </c>
      <c r="L283" s="27">
        <f t="shared" ca="1" si="13"/>
        <v>78</v>
      </c>
      <c r="M283" s="12"/>
    </row>
    <row r="284" spans="1:13" ht="14.45">
      <c r="A284" s="14">
        <v>283</v>
      </c>
      <c r="B284" s="10" t="s">
        <v>33</v>
      </c>
      <c r="C284" s="11" t="s">
        <v>612</v>
      </c>
      <c r="D284" s="11" t="s">
        <v>613</v>
      </c>
      <c r="E284" s="11" t="s">
        <v>569</v>
      </c>
      <c r="F284" s="12">
        <v>46078</v>
      </c>
      <c r="G284" s="12"/>
      <c r="H284" s="12">
        <v>45930</v>
      </c>
      <c r="I284" s="12">
        <v>45971</v>
      </c>
      <c r="J284" s="12">
        <v>46148</v>
      </c>
      <c r="K284" s="3" t="str">
        <f t="shared" ca="1" si="12"/>
        <v>Not Eligible</v>
      </c>
      <c r="L284" s="27">
        <f t="shared" ca="1" si="13"/>
        <v>15</v>
      </c>
      <c r="M284" s="12"/>
    </row>
    <row r="285" spans="1:13">
      <c r="A285" s="10">
        <v>284</v>
      </c>
      <c r="B285" s="10" t="s">
        <v>40</v>
      </c>
      <c r="C285" s="11" t="s">
        <v>614</v>
      </c>
      <c r="D285" s="11" t="s">
        <v>615</v>
      </c>
      <c r="E285" s="11" t="s">
        <v>19</v>
      </c>
      <c r="F285" s="12"/>
      <c r="G285" s="12"/>
      <c r="H285" s="12">
        <v>45943</v>
      </c>
      <c r="I285" s="12"/>
      <c r="J285" s="17">
        <v>46162</v>
      </c>
      <c r="K285" s="3" t="str">
        <f t="shared" ca="1" si="12"/>
        <v>Not Eligible</v>
      </c>
      <c r="L285" s="27">
        <f t="shared" ca="1" si="13"/>
        <v>1</v>
      </c>
      <c r="M285" s="30"/>
    </row>
    <row r="288" spans="1:13" ht="14.45">
      <c r="C288" s="39"/>
      <c r="D288" s="39"/>
      <c r="E288" s="39"/>
      <c r="F288" s="39"/>
    </row>
    <row r="289" spans="3:6" ht="14.45">
      <c r="D289" s="1"/>
    </row>
    <row r="290" spans="3:6" ht="14.45">
      <c r="D290" s="5"/>
      <c r="E290" s="5"/>
      <c r="F290" s="9"/>
    </row>
    <row r="291" spans="3:6" ht="14.45">
      <c r="E291" s="6"/>
    </row>
    <row r="292" spans="3:6" ht="14.45">
      <c r="C292" s="2"/>
      <c r="D292" s="1"/>
      <c r="E292" s="1"/>
    </row>
    <row r="293" spans="3:6" ht="14.45">
      <c r="C293" s="5"/>
    </row>
    <row r="294" spans="3:6" ht="14.45">
      <c r="C294" s="5"/>
    </row>
    <row r="296" spans="3:6" ht="14.45">
      <c r="C296" s="7"/>
    </row>
  </sheetData>
  <mergeCells count="1">
    <mergeCell ref="C288:F288"/>
  </mergeCells>
  <conditionalFormatting sqref="K1:K1048576 L2:L285">
    <cfRule type="cellIs" dxfId="23" priority="5" operator="equal">
      <formula>"Eligible"</formula>
    </cfRule>
    <cfRule type="cellIs" dxfId="22" priority="6" operator="equal">
      <formula>"Not Eligible"</formula>
    </cfRule>
  </conditionalFormatting>
  <conditionalFormatting sqref="K1:K1048576">
    <cfRule type="cellIs" dxfId="21" priority="4" operator="equal">
      <formula>"No Training Done"</formula>
    </cfRule>
  </conditionalFormatting>
  <conditionalFormatting sqref="L2:L285">
    <cfRule type="cellIs" dxfId="20" priority="1" operator="greaterThan">
      <formula>60</formula>
    </cfRule>
  </conditionalFormatting>
  <hyperlinks>
    <hyperlink ref="D120" r:id="rId1" xr:uid="{C419F790-2BB5-4459-AE39-D3006758C340}"/>
    <hyperlink ref="D146" r:id="rId2" xr:uid="{9B207AF8-1455-4A39-AF45-077F57A10319}"/>
    <hyperlink ref="D63" r:id="rId3" xr:uid="{F0421CD4-F217-46CC-AB34-1B2095558B1F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221F-9865-484D-92CD-15C1521E9F2F}">
  <dimension ref="A1:C25"/>
  <sheetViews>
    <sheetView showGridLines="0" workbookViewId="0">
      <selection activeCell="C7" sqref="C7"/>
    </sheetView>
  </sheetViews>
  <sheetFormatPr defaultColWidth="32.42578125" defaultRowHeight="14.45"/>
  <cols>
    <col min="1" max="1" width="15.28515625" style="38" customWidth="1"/>
    <col min="2" max="2" width="38.85546875" customWidth="1"/>
    <col min="3" max="3" width="55.5703125" customWidth="1"/>
  </cols>
  <sheetData>
    <row r="1" spans="1:3" ht="15">
      <c r="A1" s="36" t="s">
        <v>2</v>
      </c>
      <c r="B1" s="33" t="s">
        <v>616</v>
      </c>
      <c r="C1" s="32" t="s">
        <v>617</v>
      </c>
    </row>
    <row r="2" spans="1:3" ht="15">
      <c r="A2" s="37" t="s">
        <v>99</v>
      </c>
      <c r="B2" s="31" t="s">
        <v>618</v>
      </c>
      <c r="C2" s="34"/>
    </row>
    <row r="3" spans="1:3" ht="15"/>
    <row r="4" spans="1:3" ht="15"/>
    <row r="5" spans="1:3" ht="15"/>
    <row r="6" spans="1:3" ht="15"/>
    <row r="7" spans="1:3" ht="15"/>
    <row r="8" spans="1:3" ht="15"/>
    <row r="9" spans="1:3" ht="15"/>
    <row r="10" spans="1:3" ht="15"/>
    <row r="13" spans="1:3" ht="15"/>
    <row r="16" spans="1:3" ht="15"/>
    <row r="17" ht="15"/>
    <row r="19" ht="15"/>
    <row r="20" ht="15"/>
    <row r="21" ht="15"/>
    <row r="22" ht="15"/>
    <row r="23" ht="15"/>
    <row r="24" ht="15"/>
    <row r="25" ht="15"/>
  </sheetData>
  <hyperlinks>
    <hyperlink ref="B2" r:id="rId1" xr:uid="{233AD85B-502A-4A04-9696-B5A26AB3B114}"/>
  </hyperlinks>
  <pageMargins left="0.7" right="0.7" top="0.75" bottom="0.75" header="0.3" footer="0.3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Lydia Carneiro</dc:creator>
  <cp:keywords/>
  <dc:description/>
  <cp:lastModifiedBy/>
  <cp:revision/>
  <dcterms:created xsi:type="dcterms:W3CDTF">2015-06-05T18:17:20Z</dcterms:created>
  <dcterms:modified xsi:type="dcterms:W3CDTF">2026-05-21T09:23:23Z</dcterms:modified>
  <cp:category/>
  <cp:contentStatus/>
</cp:coreProperties>
</file>