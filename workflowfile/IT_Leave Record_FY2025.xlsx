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v027rag\Downloads\"/>
    </mc:Choice>
  </mc:AlternateContent>
  <xr:revisionPtr revIDLastSave="0" documentId="13_ncr:1_{1DE5D600-956C-45B9-8443-204006008241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 Leave Record - IT" sheetId="2" r:id="rId1"/>
    <sheet name="Leave Record_FY24-25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0" i="3" l="1"/>
  <c r="G18" i="3"/>
  <c r="G16" i="3"/>
  <c r="G14" i="3"/>
  <c r="G12" i="3"/>
  <c r="J78" i="2"/>
  <c r="J62" i="2"/>
  <c r="J46" i="2"/>
  <c r="J30" i="2"/>
  <c r="J14" i="2"/>
  <c r="H20" i="3"/>
  <c r="F20" i="3"/>
  <c r="F18" i="3"/>
  <c r="H18" i="3" s="1"/>
  <c r="F16" i="3"/>
  <c r="H16" i="3" s="1"/>
  <c r="F14" i="3"/>
  <c r="H14" i="3" s="1"/>
  <c r="F12" i="3"/>
  <c r="H12" i="3" s="1"/>
  <c r="F10" i="3"/>
  <c r="H10" i="3" s="1"/>
  <c r="L98" i="2"/>
  <c r="P78" i="2"/>
  <c r="N78" i="2"/>
  <c r="N79" i="2" s="1"/>
  <c r="L78" i="2"/>
  <c r="L79" i="2" s="1"/>
  <c r="H78" i="2"/>
  <c r="F78" i="2"/>
  <c r="H79" i="2" l="1"/>
  <c r="P98" i="2"/>
  <c r="N98" i="2"/>
  <c r="N99" i="2" s="1"/>
  <c r="L99" i="2"/>
  <c r="H98" i="2"/>
  <c r="F98" i="2"/>
  <c r="H99" i="2" l="1"/>
  <c r="P62" i="2"/>
  <c r="P46" i="2"/>
  <c r="P30" i="2"/>
  <c r="P14" i="2"/>
  <c r="N62" i="2" l="1"/>
  <c r="N63" i="2" s="1"/>
  <c r="L62" i="2"/>
  <c r="L63" i="2" s="1"/>
  <c r="H62" i="2"/>
  <c r="F62" i="2"/>
  <c r="N46" i="2"/>
  <c r="N47" i="2" s="1"/>
  <c r="L46" i="2"/>
  <c r="L47" i="2" s="1"/>
  <c r="H46" i="2"/>
  <c r="F46" i="2"/>
  <c r="N30" i="2"/>
  <c r="N31" i="2" s="1"/>
  <c r="L30" i="2"/>
  <c r="L31" i="2" s="1"/>
  <c r="H30" i="2"/>
  <c r="F30" i="2"/>
  <c r="N14" i="2"/>
  <c r="N15" i="2" s="1"/>
  <c r="L14" i="2"/>
  <c r="L15" i="2" s="1"/>
  <c r="H14" i="2"/>
  <c r="F14" i="2"/>
  <c r="H31" i="2" l="1"/>
  <c r="H63" i="2"/>
  <c r="H47" i="2"/>
  <c r="H15" i="2"/>
</calcChain>
</file>

<file path=xl/sharedStrings.xml><?xml version="1.0" encoding="utf-8"?>
<sst xmlns="http://schemas.openxmlformats.org/spreadsheetml/2006/main" count="158" uniqueCount="75">
  <si>
    <t>No</t>
  </si>
  <si>
    <t>Name of Staff</t>
  </si>
  <si>
    <t>DOJ</t>
  </si>
  <si>
    <t>Employee Code</t>
  </si>
  <si>
    <t>Leave</t>
  </si>
  <si>
    <t>Total</t>
  </si>
  <si>
    <t>Leave Availed</t>
  </si>
  <si>
    <t>Sick</t>
  </si>
  <si>
    <t xml:space="preserve">Casual </t>
  </si>
  <si>
    <t>Comp_off</t>
  </si>
  <si>
    <t xml:space="preserve">Chandrashekar </t>
  </si>
  <si>
    <t>CNS354</t>
  </si>
  <si>
    <t>01Apr - 11Apr</t>
  </si>
  <si>
    <t>Padashetty</t>
  </si>
  <si>
    <t>03Sept - 09Sept</t>
  </si>
  <si>
    <t>Leave Balance</t>
  </si>
  <si>
    <t>Abhijit Bhandal</t>
  </si>
  <si>
    <t>CNS395</t>
  </si>
  <si>
    <t>10Feb - 14Feb</t>
  </si>
  <si>
    <t>21Aug - 04Sep</t>
  </si>
  <si>
    <t>09Oct - 13Oct</t>
  </si>
  <si>
    <t>Santosh Kamath</t>
  </si>
  <si>
    <t>CNS741</t>
  </si>
  <si>
    <t>17Feb - 21Feb</t>
  </si>
  <si>
    <t>08Oct - 10Oct</t>
  </si>
  <si>
    <t>29Oct - 31Oct</t>
  </si>
  <si>
    <t>Lokesh Poojary</t>
  </si>
  <si>
    <t>CNS1006</t>
  </si>
  <si>
    <t>28Jan - 31Jan</t>
  </si>
  <si>
    <t>22Sep - 24Sep</t>
  </si>
  <si>
    <t>09Oct - 14Oct</t>
  </si>
  <si>
    <t>Pravin Walam</t>
  </si>
  <si>
    <t>CNS1284</t>
  </si>
  <si>
    <t>28Aug - 04Sep</t>
  </si>
  <si>
    <t>Rajesh Kotian</t>
  </si>
  <si>
    <t>CNS116</t>
  </si>
  <si>
    <t>02May - 16May</t>
  </si>
  <si>
    <t>26Jan -  PH leave taken on 27Jan</t>
  </si>
  <si>
    <t>New Internet Line Fiber Cable Installation (AIRTEL)</t>
  </si>
  <si>
    <t>New Internet Line Fiber Cable Upgradation &amp; MUX installation (TCL)</t>
  </si>
  <si>
    <t>05Jul - Temporary removal of several workstations on the 7th floor office for the LSA event.</t>
  </si>
  <si>
    <t>25Jul - Due to 7F, 26TR AHU Replacement / Installation worked double shift.</t>
  </si>
  <si>
    <t>10Nov - 11Nov</t>
  </si>
  <si>
    <t>18NOv - 20Nov</t>
  </si>
  <si>
    <t>03Nov - 05Nov</t>
  </si>
  <si>
    <t>02Dec - 05Dec</t>
  </si>
  <si>
    <t>22Dec - 23Dec</t>
  </si>
  <si>
    <t>29Dec - 31Dec</t>
  </si>
  <si>
    <t>15Dec - 19Dec</t>
  </si>
  <si>
    <t>26Dec - 29Dec</t>
  </si>
  <si>
    <t>Department Name</t>
  </si>
  <si>
    <t>IT TEAM</t>
  </si>
  <si>
    <t>APR 2024 - MAR 2025</t>
  </si>
  <si>
    <t>Names of the Staff</t>
  </si>
  <si>
    <t>Chandrashekar P</t>
  </si>
  <si>
    <t>Abhijit Bandal</t>
  </si>
  <si>
    <t>Jan</t>
  </si>
  <si>
    <t>Feb</t>
  </si>
  <si>
    <t>Mar</t>
  </si>
  <si>
    <t>Apr</t>
  </si>
  <si>
    <t>C_Month</t>
  </si>
  <si>
    <t>C_No</t>
  </si>
  <si>
    <t>May</t>
  </si>
  <si>
    <t>Jul</t>
  </si>
  <si>
    <t>Sep</t>
  </si>
  <si>
    <t>Oct</t>
  </si>
  <si>
    <t>Nov</t>
  </si>
  <si>
    <t>Dec</t>
  </si>
  <si>
    <t>Jun</t>
  </si>
  <si>
    <t>Aug</t>
  </si>
  <si>
    <t>Leave Balance as on 31.03.24</t>
  </si>
  <si>
    <t>Add :01.04.24 to 31.03.25</t>
  </si>
  <si>
    <t>Total as on 31.03.25</t>
  </si>
  <si>
    <t>Less : PL Taken 01.04.24 to 31.03.25</t>
  </si>
  <si>
    <t>Closing Balance as on 31.03.25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</si>
</sst>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/mmm/yy"/>
    <numFmt numFmtId="165" formatCode="0.0"/>
    <numFmt numFmtId="166" formatCode="[$-409]d\-mmm;@"/>
  </numFmts>
  <fonts count="13" x14ac:knownFonts="1">
    <font>
      <sz val="11"/>
      <color theme="1"/>
      <name val="Arial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rgb="FF0000FF"/>
      <name val="Calibri"/>
      <family val="2"/>
      <scheme val="minor"/>
    </font>
    <font>
      <sz val="10"/>
      <name val="Arial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theme="1"/>
      <name val="Verdana"/>
      <family val="2"/>
    </font>
    <font>
      <b/>
      <i/>
      <sz val="12"/>
      <color theme="0" tint="-0.34998626667073579"/>
      <name val="Verdana"/>
      <family val="2"/>
    </font>
    <font>
      <b/>
      <sz val="12"/>
      <name val="Verdana"/>
      <family val="2"/>
    </font>
    <font>
      <sz val="12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</cellStyleXfs>
  <cellXfs count="101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0" fontId="1" fillId="0" borderId="0" xfId="0" applyFont="1"/>
    <xf numFmtId="0" fontId="1" fillId="0" borderId="6" xfId="0" applyFont="1" applyBorder="1" applyAlignment="1">
      <alignment horizontal="center"/>
    </xf>
    <xf numFmtId="0" fontId="2" fillId="0" borderId="6" xfId="0" applyFont="1" applyBorder="1" applyAlignment="1">
      <alignment horizontal="left"/>
    </xf>
    <xf numFmtId="15" fontId="1" fillId="0" borderId="5" xfId="0" applyNumberFormat="1" applyFont="1" applyBorder="1" applyAlignment="1">
      <alignment horizontal="center"/>
    </xf>
    <xf numFmtId="15" fontId="2" fillId="0" borderId="7" xfId="0" applyNumberFormat="1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164" fontId="1" fillId="0" borderId="5" xfId="0" applyNumberFormat="1" applyFont="1" applyBorder="1" applyAlignment="1">
      <alignment horizontal="center"/>
    </xf>
    <xf numFmtId="166" fontId="1" fillId="0" borderId="5" xfId="0" applyNumberFormat="1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2" fillId="0" borderId="9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2" fillId="0" borderId="10" xfId="0" applyFont="1" applyBorder="1" applyAlignment="1">
      <alignment horizontal="left"/>
    </xf>
    <xf numFmtId="0" fontId="1" fillId="0" borderId="10" xfId="0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left"/>
    </xf>
    <xf numFmtId="164" fontId="1" fillId="0" borderId="8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66" fontId="3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/>
    </xf>
    <xf numFmtId="166" fontId="5" fillId="0" borderId="1" xfId="0" applyNumberFormat="1" applyFont="1" applyBorder="1" applyAlignment="1">
      <alignment horizontal="center"/>
    </xf>
    <xf numFmtId="165" fontId="5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" fontId="5" fillId="0" borderId="0" xfId="0" applyNumberFormat="1" applyFont="1" applyAlignment="1">
      <alignment horizontal="center"/>
    </xf>
    <xf numFmtId="166" fontId="5" fillId="0" borderId="0" xfId="0" applyNumberFormat="1" applyFont="1" applyAlignment="1">
      <alignment horizontal="center"/>
    </xf>
    <xf numFmtId="165" fontId="5" fillId="0" borderId="0" xfId="0" applyNumberFormat="1" applyFont="1" applyAlignment="1">
      <alignment horizontal="center"/>
    </xf>
    <xf numFmtId="0" fontId="2" fillId="0" borderId="0" xfId="0" applyFont="1"/>
    <xf numFmtId="166" fontId="1" fillId="0" borderId="0" xfId="0" applyNumberFormat="1" applyFont="1"/>
    <xf numFmtId="166" fontId="1" fillId="0" borderId="7" xfId="0" applyNumberFormat="1" applyFont="1" applyBorder="1" applyAlignment="1">
      <alignment horizontal="center"/>
    </xf>
    <xf numFmtId="164" fontId="1" fillId="0" borderId="10" xfId="0" applyNumberFormat="1" applyFont="1" applyBorder="1" applyAlignment="1">
      <alignment horizontal="center"/>
    </xf>
    <xf numFmtId="166" fontId="1" fillId="0" borderId="12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66" fontId="4" fillId="0" borderId="1" xfId="0" applyNumberFormat="1" applyFont="1" applyBorder="1" applyAlignment="1">
      <alignment horizontal="center"/>
    </xf>
    <xf numFmtId="166" fontId="3" fillId="0" borderId="0" xfId="0" applyNumberFormat="1" applyFont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1" xfId="0" applyFont="1" applyBorder="1" applyAlignment="1">
      <alignment horizontal="left"/>
    </xf>
    <xf numFmtId="0" fontId="1" fillId="0" borderId="12" xfId="0" applyFont="1" applyBorder="1" applyAlignment="1">
      <alignment horizontal="left"/>
    </xf>
    <xf numFmtId="0" fontId="2" fillId="0" borderId="13" xfId="0" applyFont="1" applyBorder="1" applyAlignment="1">
      <alignment horizontal="left"/>
    </xf>
    <xf numFmtId="0" fontId="1" fillId="0" borderId="13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7" fillId="0" borderId="6" xfId="0" applyFont="1" applyBorder="1" applyAlignment="1">
      <alignment horizontal="center" vertical="center"/>
    </xf>
    <xf numFmtId="0" fontId="8" fillId="0" borderId="6" xfId="0" applyFont="1" applyBorder="1" applyAlignment="1">
      <alignment vertical="center"/>
    </xf>
    <xf numFmtId="15" fontId="7" fillId="0" borderId="5" xfId="0" applyNumberFormat="1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16" fontId="7" fillId="0" borderId="7" xfId="0" applyNumberFormat="1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vertical="center"/>
    </xf>
    <xf numFmtId="0" fontId="7" fillId="0" borderId="8" xfId="0" applyFont="1" applyBorder="1" applyAlignment="1">
      <alignment vertical="center"/>
    </xf>
    <xf numFmtId="0" fontId="8" fillId="0" borderId="10" xfId="0" applyFont="1" applyBorder="1" applyAlignment="1">
      <alignment vertical="center"/>
    </xf>
    <xf numFmtId="0" fontId="7" fillId="0" borderId="10" xfId="0" applyFont="1" applyBorder="1" applyAlignment="1">
      <alignment horizontal="center" vertical="center"/>
    </xf>
    <xf numFmtId="16" fontId="7" fillId="0" borderId="10" xfId="0" applyNumberFormat="1" applyFont="1" applyBorder="1" applyAlignment="1">
      <alignment horizontal="center" vertical="center"/>
    </xf>
    <xf numFmtId="166" fontId="1" fillId="0" borderId="10" xfId="0" applyNumberFormat="1" applyFont="1" applyBorder="1" applyAlignment="1">
      <alignment horizontal="center"/>
    </xf>
    <xf numFmtId="0" fontId="1" fillId="0" borderId="0" xfId="0" applyFont="1" applyAlignment="1">
      <alignment horizontal="left"/>
    </xf>
    <xf numFmtId="166" fontId="3" fillId="0" borderId="4" xfId="0" applyNumberFormat="1" applyFont="1" applyBorder="1" applyAlignment="1">
      <alignment horizontal="center"/>
    </xf>
    <xf numFmtId="0" fontId="7" fillId="0" borderId="8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/>
    </xf>
    <xf numFmtId="16" fontId="7" fillId="0" borderId="8" xfId="0" applyNumberFormat="1" applyFont="1" applyBorder="1" applyAlignment="1">
      <alignment horizontal="center" vertical="center"/>
    </xf>
    <xf numFmtId="0" fontId="9" fillId="0" borderId="0" xfId="0" applyFont="1"/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10" fillId="0" borderId="15" xfId="0" applyFont="1" applyBorder="1"/>
    <xf numFmtId="0" fontId="12" fillId="0" borderId="8" xfId="0" applyFont="1" applyBorder="1"/>
    <xf numFmtId="0" fontId="12" fillId="0" borderId="8" xfId="0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0" fontId="12" fillId="0" borderId="0" xfId="0" applyFont="1" applyBorder="1"/>
    <xf numFmtId="0" fontId="12" fillId="0" borderId="0" xfId="0" applyFont="1" applyBorder="1" applyAlignment="1">
      <alignment horizontal="center"/>
    </xf>
    <xf numFmtId="0" fontId="0" fillId="0" borderId="0" xfId="0" applyBorder="1"/>
    <xf numFmtId="0" fontId="9" fillId="0" borderId="8" xfId="0" applyFont="1" applyBorder="1" applyAlignment="1">
      <alignment horizontal="center"/>
    </xf>
    <xf numFmtId="0" fontId="9" fillId="0" borderId="0" xfId="0" applyFont="1" applyBorder="1"/>
    <xf numFmtId="0" fontId="0" fillId="0" borderId="0" xfId="0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1" fillId="2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2" fillId="3" borderId="5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12" xfId="0" applyFont="1" applyFill="1" applyBorder="1" applyAlignment="1">
      <alignment horizontal="center" vertical="center"/>
    </xf>
    <xf numFmtId="0" fontId="12" fillId="3" borderId="5" xfId="0" applyFont="1" applyFill="1" applyBorder="1" applyAlignment="1">
      <alignment horizontal="center" vertical="center" wrapText="1"/>
    </xf>
    <xf numFmtId="0" fontId="12" fillId="3" borderId="8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166" fontId="1" fillId="0" borderId="10" xfId="0" applyNumberFormat="1" applyFont="1" applyFill="1" applyBorder="1" applyAlignment="1">
      <alignment horizontal="center"/>
    </xf>
    <xf numFmtId="0" fontId="1" fillId="0" borderId="10" xfId="0" applyFont="1" applyFill="1" applyBorder="1" applyAlignment="1">
      <alignment horizontal="center"/>
    </xf>
  </cellXfs>
  <cellStyles count="7">
    <cellStyle name="Normal" xfId="0" builtinId="0"/>
    <cellStyle name="Normal 2" xfId="1" xr:uid="{00000000-0005-0000-0000-000001000000}"/>
    <cellStyle name="Normal 2 2" xfId="6" xr:uid="{00000000-0005-0000-0000-000002000000}"/>
    <cellStyle name="Normal 3" xfId="5" xr:uid="{00000000-0005-0000-0000-000003000000}"/>
    <cellStyle name="Normal 4" xfId="2" xr:uid="{00000000-0005-0000-0000-000004000000}"/>
    <cellStyle name="Normal 4 2" xfId="4" xr:uid="{00000000-0005-0000-0000-000005000000}"/>
    <cellStyle name="Normal 5" xfId="3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5"/>
  <sheetViews>
    <sheetView showGridLines="0" zoomScale="85" zoomScaleNormal="85" workbookViewId="0">
      <pane ySplit="1" topLeftCell="A54" activePane="bottomLeft" state="frozen"/>
      <selection pane="bottomLeft" activeCell="G19" sqref="G19:H19"/>
    </sheetView>
  </sheetViews>
  <sheetFormatPr defaultRowHeight="15.5" x14ac:dyDescent="0.35"/>
  <cols>
    <col min="1" max="1" width="4" style="7" customWidth="1"/>
    <col min="2" max="2" width="16.08203125" style="7" customWidth="1"/>
    <col min="3" max="3" width="10.58203125" style="7" customWidth="1"/>
    <col min="4" max="4" width="11.83203125" style="7" customWidth="1"/>
    <col min="5" max="6" width="9" style="35"/>
    <col min="7" max="7" width="15.58203125" style="35" customWidth="1"/>
    <col min="8" max="8" width="9" style="35"/>
    <col min="9" max="10" width="8.6640625" style="35"/>
    <col min="11" max="11" width="12.5" style="43" customWidth="1"/>
    <col min="12" max="12" width="8.6640625" style="35" customWidth="1"/>
    <col min="13" max="13" width="11.33203125" style="43" customWidth="1"/>
    <col min="14" max="14" width="8.6640625" style="35" customWidth="1"/>
    <col min="15" max="15" width="9.33203125" style="43" customWidth="1"/>
    <col min="16" max="16" width="8.6640625" style="35" customWidth="1"/>
    <col min="17" max="17" width="68.58203125" style="7" customWidth="1"/>
    <col min="18" max="252" width="9" style="7"/>
    <col min="253" max="253" width="4" style="7" customWidth="1"/>
    <col min="254" max="254" width="16.08203125" style="7" customWidth="1"/>
    <col min="255" max="255" width="10.58203125" style="7" customWidth="1"/>
    <col min="256" max="256" width="11.83203125" style="7" customWidth="1"/>
    <col min="257" max="258" width="9" style="7"/>
    <col min="259" max="259" width="15.58203125" style="7" customWidth="1"/>
    <col min="260" max="260" width="9" style="7"/>
    <col min="261" max="261" width="8.5" style="7" bestFit="1" customWidth="1"/>
    <col min="262" max="262" width="9" style="7"/>
    <col min="263" max="263" width="8.08203125" style="7" bestFit="1" customWidth="1"/>
    <col min="264" max="508" width="9" style="7"/>
    <col min="509" max="509" width="4" style="7" customWidth="1"/>
    <col min="510" max="510" width="16.08203125" style="7" customWidth="1"/>
    <col min="511" max="511" width="10.58203125" style="7" customWidth="1"/>
    <col min="512" max="512" width="11.83203125" style="7" customWidth="1"/>
    <col min="513" max="514" width="9" style="7"/>
    <col min="515" max="515" width="15.58203125" style="7" customWidth="1"/>
    <col min="516" max="516" width="9" style="7"/>
    <col min="517" max="517" width="8.5" style="7" bestFit="1" customWidth="1"/>
    <col min="518" max="518" width="9" style="7"/>
    <col min="519" max="519" width="8.08203125" style="7" bestFit="1" customWidth="1"/>
    <col min="520" max="764" width="9" style="7"/>
    <col min="765" max="765" width="4" style="7" customWidth="1"/>
    <col min="766" max="766" width="16.08203125" style="7" customWidth="1"/>
    <col min="767" max="767" width="10.58203125" style="7" customWidth="1"/>
    <col min="768" max="768" width="11.83203125" style="7" customWidth="1"/>
    <col min="769" max="770" width="9" style="7"/>
    <col min="771" max="771" width="15.58203125" style="7" customWidth="1"/>
    <col min="772" max="772" width="9" style="7"/>
    <col min="773" max="773" width="8.5" style="7" bestFit="1" customWidth="1"/>
    <col min="774" max="774" width="9" style="7"/>
    <col min="775" max="775" width="8.08203125" style="7" bestFit="1" customWidth="1"/>
    <col min="776" max="1020" width="9" style="7"/>
    <col min="1021" max="1021" width="4" style="7" customWidth="1"/>
    <col min="1022" max="1022" width="16.08203125" style="7" customWidth="1"/>
    <col min="1023" max="1023" width="10.58203125" style="7" customWidth="1"/>
    <col min="1024" max="1024" width="11.83203125" style="7" customWidth="1"/>
    <col min="1025" max="1026" width="9" style="7"/>
    <col min="1027" max="1027" width="15.58203125" style="7" customWidth="1"/>
    <col min="1028" max="1028" width="9" style="7"/>
    <col min="1029" max="1029" width="8.5" style="7" bestFit="1" customWidth="1"/>
    <col min="1030" max="1030" width="9" style="7"/>
    <col min="1031" max="1031" width="8.08203125" style="7" bestFit="1" customWidth="1"/>
    <col min="1032" max="1276" width="9" style="7"/>
    <col min="1277" max="1277" width="4" style="7" customWidth="1"/>
    <col min="1278" max="1278" width="16.08203125" style="7" customWidth="1"/>
    <col min="1279" max="1279" width="10.58203125" style="7" customWidth="1"/>
    <col min="1280" max="1280" width="11.83203125" style="7" customWidth="1"/>
    <col min="1281" max="1282" width="9" style="7"/>
    <col min="1283" max="1283" width="15.58203125" style="7" customWidth="1"/>
    <col min="1284" max="1284" width="9" style="7"/>
    <col min="1285" max="1285" width="8.5" style="7" bestFit="1" customWidth="1"/>
    <col min="1286" max="1286" width="9" style="7"/>
    <col min="1287" max="1287" width="8.08203125" style="7" bestFit="1" customWidth="1"/>
    <col min="1288" max="1532" width="9" style="7"/>
    <col min="1533" max="1533" width="4" style="7" customWidth="1"/>
    <col min="1534" max="1534" width="16.08203125" style="7" customWidth="1"/>
    <col min="1535" max="1535" width="10.58203125" style="7" customWidth="1"/>
    <col min="1536" max="1536" width="11.83203125" style="7" customWidth="1"/>
    <col min="1537" max="1538" width="9" style="7"/>
    <col min="1539" max="1539" width="15.58203125" style="7" customWidth="1"/>
    <col min="1540" max="1540" width="9" style="7"/>
    <col min="1541" max="1541" width="8.5" style="7" bestFit="1" customWidth="1"/>
    <col min="1542" max="1542" width="9" style="7"/>
    <col min="1543" max="1543" width="8.08203125" style="7" bestFit="1" customWidth="1"/>
    <col min="1544" max="1788" width="9" style="7"/>
    <col min="1789" max="1789" width="4" style="7" customWidth="1"/>
    <col min="1790" max="1790" width="16.08203125" style="7" customWidth="1"/>
    <col min="1791" max="1791" width="10.58203125" style="7" customWidth="1"/>
    <col min="1792" max="1792" width="11.83203125" style="7" customWidth="1"/>
    <col min="1793" max="1794" width="9" style="7"/>
    <col min="1795" max="1795" width="15.58203125" style="7" customWidth="1"/>
    <col min="1796" max="1796" width="9" style="7"/>
    <col min="1797" max="1797" width="8.5" style="7" bestFit="1" customWidth="1"/>
    <col min="1798" max="1798" width="9" style="7"/>
    <col min="1799" max="1799" width="8.08203125" style="7" bestFit="1" customWidth="1"/>
    <col min="1800" max="2044" width="9" style="7"/>
    <col min="2045" max="2045" width="4" style="7" customWidth="1"/>
    <col min="2046" max="2046" width="16.08203125" style="7" customWidth="1"/>
    <col min="2047" max="2047" width="10.58203125" style="7" customWidth="1"/>
    <col min="2048" max="2048" width="11.83203125" style="7" customWidth="1"/>
    <col min="2049" max="2050" width="9" style="7"/>
    <col min="2051" max="2051" width="15.58203125" style="7" customWidth="1"/>
    <col min="2052" max="2052" width="9" style="7"/>
    <col min="2053" max="2053" width="8.5" style="7" bestFit="1" customWidth="1"/>
    <col min="2054" max="2054" width="9" style="7"/>
    <col min="2055" max="2055" width="8.08203125" style="7" bestFit="1" customWidth="1"/>
    <col min="2056" max="2300" width="9" style="7"/>
    <col min="2301" max="2301" width="4" style="7" customWidth="1"/>
    <col min="2302" max="2302" width="16.08203125" style="7" customWidth="1"/>
    <col min="2303" max="2303" width="10.58203125" style="7" customWidth="1"/>
    <col min="2304" max="2304" width="11.83203125" style="7" customWidth="1"/>
    <col min="2305" max="2306" width="9" style="7"/>
    <col min="2307" max="2307" width="15.58203125" style="7" customWidth="1"/>
    <col min="2308" max="2308" width="9" style="7"/>
    <col min="2309" max="2309" width="8.5" style="7" bestFit="1" customWidth="1"/>
    <col min="2310" max="2310" width="9" style="7"/>
    <col min="2311" max="2311" width="8.08203125" style="7" bestFit="1" customWidth="1"/>
    <col min="2312" max="2556" width="9" style="7"/>
    <col min="2557" max="2557" width="4" style="7" customWidth="1"/>
    <col min="2558" max="2558" width="16.08203125" style="7" customWidth="1"/>
    <col min="2559" max="2559" width="10.58203125" style="7" customWidth="1"/>
    <col min="2560" max="2560" width="11.83203125" style="7" customWidth="1"/>
    <col min="2561" max="2562" width="9" style="7"/>
    <col min="2563" max="2563" width="15.58203125" style="7" customWidth="1"/>
    <col min="2564" max="2564" width="9" style="7"/>
    <col min="2565" max="2565" width="8.5" style="7" bestFit="1" customWidth="1"/>
    <col min="2566" max="2566" width="9" style="7"/>
    <col min="2567" max="2567" width="8.08203125" style="7" bestFit="1" customWidth="1"/>
    <col min="2568" max="2812" width="9" style="7"/>
    <col min="2813" max="2813" width="4" style="7" customWidth="1"/>
    <col min="2814" max="2814" width="16.08203125" style="7" customWidth="1"/>
    <col min="2815" max="2815" width="10.58203125" style="7" customWidth="1"/>
    <col min="2816" max="2816" width="11.83203125" style="7" customWidth="1"/>
    <col min="2817" max="2818" width="9" style="7"/>
    <col min="2819" max="2819" width="15.58203125" style="7" customWidth="1"/>
    <col min="2820" max="2820" width="9" style="7"/>
    <col min="2821" max="2821" width="8.5" style="7" bestFit="1" customWidth="1"/>
    <col min="2822" max="2822" width="9" style="7"/>
    <col min="2823" max="2823" width="8.08203125" style="7" bestFit="1" customWidth="1"/>
    <col min="2824" max="3068" width="9" style="7"/>
    <col min="3069" max="3069" width="4" style="7" customWidth="1"/>
    <col min="3070" max="3070" width="16.08203125" style="7" customWidth="1"/>
    <col min="3071" max="3071" width="10.58203125" style="7" customWidth="1"/>
    <col min="3072" max="3072" width="11.83203125" style="7" customWidth="1"/>
    <col min="3073" max="3074" width="9" style="7"/>
    <col min="3075" max="3075" width="15.58203125" style="7" customWidth="1"/>
    <col min="3076" max="3076" width="9" style="7"/>
    <col min="3077" max="3077" width="8.5" style="7" bestFit="1" customWidth="1"/>
    <col min="3078" max="3078" width="9" style="7"/>
    <col min="3079" max="3079" width="8.08203125" style="7" bestFit="1" customWidth="1"/>
    <col min="3080" max="3324" width="9" style="7"/>
    <col min="3325" max="3325" width="4" style="7" customWidth="1"/>
    <col min="3326" max="3326" width="16.08203125" style="7" customWidth="1"/>
    <col min="3327" max="3327" width="10.58203125" style="7" customWidth="1"/>
    <col min="3328" max="3328" width="11.83203125" style="7" customWidth="1"/>
    <col min="3329" max="3330" width="9" style="7"/>
    <col min="3331" max="3331" width="15.58203125" style="7" customWidth="1"/>
    <col min="3332" max="3332" width="9" style="7"/>
    <col min="3333" max="3333" width="8.5" style="7" bestFit="1" customWidth="1"/>
    <col min="3334" max="3334" width="9" style="7"/>
    <col min="3335" max="3335" width="8.08203125" style="7" bestFit="1" customWidth="1"/>
    <col min="3336" max="3580" width="9" style="7"/>
    <col min="3581" max="3581" width="4" style="7" customWidth="1"/>
    <col min="3582" max="3582" width="16.08203125" style="7" customWidth="1"/>
    <col min="3583" max="3583" width="10.58203125" style="7" customWidth="1"/>
    <col min="3584" max="3584" width="11.83203125" style="7" customWidth="1"/>
    <col min="3585" max="3586" width="9" style="7"/>
    <col min="3587" max="3587" width="15.58203125" style="7" customWidth="1"/>
    <col min="3588" max="3588" width="9" style="7"/>
    <col min="3589" max="3589" width="8.5" style="7" bestFit="1" customWidth="1"/>
    <col min="3590" max="3590" width="9" style="7"/>
    <col min="3591" max="3591" width="8.08203125" style="7" bestFit="1" customWidth="1"/>
    <col min="3592" max="3836" width="9" style="7"/>
    <col min="3837" max="3837" width="4" style="7" customWidth="1"/>
    <col min="3838" max="3838" width="16.08203125" style="7" customWidth="1"/>
    <col min="3839" max="3839" width="10.58203125" style="7" customWidth="1"/>
    <col min="3840" max="3840" width="11.83203125" style="7" customWidth="1"/>
    <col min="3841" max="3842" width="9" style="7"/>
    <col min="3843" max="3843" width="15.58203125" style="7" customWidth="1"/>
    <col min="3844" max="3844" width="9" style="7"/>
    <col min="3845" max="3845" width="8.5" style="7" bestFit="1" customWidth="1"/>
    <col min="3846" max="3846" width="9" style="7"/>
    <col min="3847" max="3847" width="8.08203125" style="7" bestFit="1" customWidth="1"/>
    <col min="3848" max="4092" width="9" style="7"/>
    <col min="4093" max="4093" width="4" style="7" customWidth="1"/>
    <col min="4094" max="4094" width="16.08203125" style="7" customWidth="1"/>
    <col min="4095" max="4095" width="10.58203125" style="7" customWidth="1"/>
    <col min="4096" max="4096" width="11.83203125" style="7" customWidth="1"/>
    <col min="4097" max="4098" width="9" style="7"/>
    <col min="4099" max="4099" width="15.58203125" style="7" customWidth="1"/>
    <col min="4100" max="4100" width="9" style="7"/>
    <col min="4101" max="4101" width="8.5" style="7" bestFit="1" customWidth="1"/>
    <col min="4102" max="4102" width="9" style="7"/>
    <col min="4103" max="4103" width="8.08203125" style="7" bestFit="1" customWidth="1"/>
    <col min="4104" max="4348" width="9" style="7"/>
    <col min="4349" max="4349" width="4" style="7" customWidth="1"/>
    <col min="4350" max="4350" width="16.08203125" style="7" customWidth="1"/>
    <col min="4351" max="4351" width="10.58203125" style="7" customWidth="1"/>
    <col min="4352" max="4352" width="11.83203125" style="7" customWidth="1"/>
    <col min="4353" max="4354" width="9" style="7"/>
    <col min="4355" max="4355" width="15.58203125" style="7" customWidth="1"/>
    <col min="4356" max="4356" width="9" style="7"/>
    <col min="4357" max="4357" width="8.5" style="7" bestFit="1" customWidth="1"/>
    <col min="4358" max="4358" width="9" style="7"/>
    <col min="4359" max="4359" width="8.08203125" style="7" bestFit="1" customWidth="1"/>
    <col min="4360" max="4604" width="9" style="7"/>
    <col min="4605" max="4605" width="4" style="7" customWidth="1"/>
    <col min="4606" max="4606" width="16.08203125" style="7" customWidth="1"/>
    <col min="4607" max="4607" width="10.58203125" style="7" customWidth="1"/>
    <col min="4608" max="4608" width="11.83203125" style="7" customWidth="1"/>
    <col min="4609" max="4610" width="9" style="7"/>
    <col min="4611" max="4611" width="15.58203125" style="7" customWidth="1"/>
    <col min="4612" max="4612" width="9" style="7"/>
    <col min="4613" max="4613" width="8.5" style="7" bestFit="1" customWidth="1"/>
    <col min="4614" max="4614" width="9" style="7"/>
    <col min="4615" max="4615" width="8.08203125" style="7" bestFit="1" customWidth="1"/>
    <col min="4616" max="4860" width="9" style="7"/>
    <col min="4861" max="4861" width="4" style="7" customWidth="1"/>
    <col min="4862" max="4862" width="16.08203125" style="7" customWidth="1"/>
    <col min="4863" max="4863" width="10.58203125" style="7" customWidth="1"/>
    <col min="4864" max="4864" width="11.83203125" style="7" customWidth="1"/>
    <col min="4865" max="4866" width="9" style="7"/>
    <col min="4867" max="4867" width="15.58203125" style="7" customWidth="1"/>
    <col min="4868" max="4868" width="9" style="7"/>
    <col min="4869" max="4869" width="8.5" style="7" bestFit="1" customWidth="1"/>
    <col min="4870" max="4870" width="9" style="7"/>
    <col min="4871" max="4871" width="8.08203125" style="7" bestFit="1" customWidth="1"/>
    <col min="4872" max="5116" width="9" style="7"/>
    <col min="5117" max="5117" width="4" style="7" customWidth="1"/>
    <col min="5118" max="5118" width="16.08203125" style="7" customWidth="1"/>
    <col min="5119" max="5119" width="10.58203125" style="7" customWidth="1"/>
    <col min="5120" max="5120" width="11.83203125" style="7" customWidth="1"/>
    <col min="5121" max="5122" width="9" style="7"/>
    <col min="5123" max="5123" width="15.58203125" style="7" customWidth="1"/>
    <col min="5124" max="5124" width="9" style="7"/>
    <col min="5125" max="5125" width="8.5" style="7" bestFit="1" customWidth="1"/>
    <col min="5126" max="5126" width="9" style="7"/>
    <col min="5127" max="5127" width="8.08203125" style="7" bestFit="1" customWidth="1"/>
    <col min="5128" max="5372" width="9" style="7"/>
    <col min="5373" max="5373" width="4" style="7" customWidth="1"/>
    <col min="5374" max="5374" width="16.08203125" style="7" customWidth="1"/>
    <col min="5375" max="5375" width="10.58203125" style="7" customWidth="1"/>
    <col min="5376" max="5376" width="11.83203125" style="7" customWidth="1"/>
    <col min="5377" max="5378" width="9" style="7"/>
    <col min="5379" max="5379" width="15.58203125" style="7" customWidth="1"/>
    <col min="5380" max="5380" width="9" style="7"/>
    <col min="5381" max="5381" width="8.5" style="7" bestFit="1" customWidth="1"/>
    <col min="5382" max="5382" width="9" style="7"/>
    <col min="5383" max="5383" width="8.08203125" style="7" bestFit="1" customWidth="1"/>
    <col min="5384" max="5628" width="9" style="7"/>
    <col min="5629" max="5629" width="4" style="7" customWidth="1"/>
    <col min="5630" max="5630" width="16.08203125" style="7" customWidth="1"/>
    <col min="5631" max="5631" width="10.58203125" style="7" customWidth="1"/>
    <col min="5632" max="5632" width="11.83203125" style="7" customWidth="1"/>
    <col min="5633" max="5634" width="9" style="7"/>
    <col min="5635" max="5635" width="15.58203125" style="7" customWidth="1"/>
    <col min="5636" max="5636" width="9" style="7"/>
    <col min="5637" max="5637" width="8.5" style="7" bestFit="1" customWidth="1"/>
    <col min="5638" max="5638" width="9" style="7"/>
    <col min="5639" max="5639" width="8.08203125" style="7" bestFit="1" customWidth="1"/>
    <col min="5640" max="5884" width="9" style="7"/>
    <col min="5885" max="5885" width="4" style="7" customWidth="1"/>
    <col min="5886" max="5886" width="16.08203125" style="7" customWidth="1"/>
    <col min="5887" max="5887" width="10.58203125" style="7" customWidth="1"/>
    <col min="5888" max="5888" width="11.83203125" style="7" customWidth="1"/>
    <col min="5889" max="5890" width="9" style="7"/>
    <col min="5891" max="5891" width="15.58203125" style="7" customWidth="1"/>
    <col min="5892" max="5892" width="9" style="7"/>
    <col min="5893" max="5893" width="8.5" style="7" bestFit="1" customWidth="1"/>
    <col min="5894" max="5894" width="9" style="7"/>
    <col min="5895" max="5895" width="8.08203125" style="7" bestFit="1" customWidth="1"/>
    <col min="5896" max="6140" width="9" style="7"/>
    <col min="6141" max="6141" width="4" style="7" customWidth="1"/>
    <col min="6142" max="6142" width="16.08203125" style="7" customWidth="1"/>
    <col min="6143" max="6143" width="10.58203125" style="7" customWidth="1"/>
    <col min="6144" max="6144" width="11.83203125" style="7" customWidth="1"/>
    <col min="6145" max="6146" width="9" style="7"/>
    <col min="6147" max="6147" width="15.58203125" style="7" customWidth="1"/>
    <col min="6148" max="6148" width="9" style="7"/>
    <col min="6149" max="6149" width="8.5" style="7" bestFit="1" customWidth="1"/>
    <col min="6150" max="6150" width="9" style="7"/>
    <col min="6151" max="6151" width="8.08203125" style="7" bestFit="1" customWidth="1"/>
    <col min="6152" max="6396" width="9" style="7"/>
    <col min="6397" max="6397" width="4" style="7" customWidth="1"/>
    <col min="6398" max="6398" width="16.08203125" style="7" customWidth="1"/>
    <col min="6399" max="6399" width="10.58203125" style="7" customWidth="1"/>
    <col min="6400" max="6400" width="11.83203125" style="7" customWidth="1"/>
    <col min="6401" max="6402" width="9" style="7"/>
    <col min="6403" max="6403" width="15.58203125" style="7" customWidth="1"/>
    <col min="6404" max="6404" width="9" style="7"/>
    <col min="6405" max="6405" width="8.5" style="7" bestFit="1" customWidth="1"/>
    <col min="6406" max="6406" width="9" style="7"/>
    <col min="6407" max="6407" width="8.08203125" style="7" bestFit="1" customWidth="1"/>
    <col min="6408" max="6652" width="9" style="7"/>
    <col min="6653" max="6653" width="4" style="7" customWidth="1"/>
    <col min="6654" max="6654" width="16.08203125" style="7" customWidth="1"/>
    <col min="6655" max="6655" width="10.58203125" style="7" customWidth="1"/>
    <col min="6656" max="6656" width="11.83203125" style="7" customWidth="1"/>
    <col min="6657" max="6658" width="9" style="7"/>
    <col min="6659" max="6659" width="15.58203125" style="7" customWidth="1"/>
    <col min="6660" max="6660" width="9" style="7"/>
    <col min="6661" max="6661" width="8.5" style="7" bestFit="1" customWidth="1"/>
    <col min="6662" max="6662" width="9" style="7"/>
    <col min="6663" max="6663" width="8.08203125" style="7" bestFit="1" customWidth="1"/>
    <col min="6664" max="6908" width="9" style="7"/>
    <col min="6909" max="6909" width="4" style="7" customWidth="1"/>
    <col min="6910" max="6910" width="16.08203125" style="7" customWidth="1"/>
    <col min="6911" max="6911" width="10.58203125" style="7" customWidth="1"/>
    <col min="6912" max="6912" width="11.83203125" style="7" customWidth="1"/>
    <col min="6913" max="6914" width="9" style="7"/>
    <col min="6915" max="6915" width="15.58203125" style="7" customWidth="1"/>
    <col min="6916" max="6916" width="9" style="7"/>
    <col min="6917" max="6917" width="8.5" style="7" bestFit="1" customWidth="1"/>
    <col min="6918" max="6918" width="9" style="7"/>
    <col min="6919" max="6919" width="8.08203125" style="7" bestFit="1" customWidth="1"/>
    <col min="6920" max="7164" width="9" style="7"/>
    <col min="7165" max="7165" width="4" style="7" customWidth="1"/>
    <col min="7166" max="7166" width="16.08203125" style="7" customWidth="1"/>
    <col min="7167" max="7167" width="10.58203125" style="7" customWidth="1"/>
    <col min="7168" max="7168" width="11.83203125" style="7" customWidth="1"/>
    <col min="7169" max="7170" width="9" style="7"/>
    <col min="7171" max="7171" width="15.58203125" style="7" customWidth="1"/>
    <col min="7172" max="7172" width="9" style="7"/>
    <col min="7173" max="7173" width="8.5" style="7" bestFit="1" customWidth="1"/>
    <col min="7174" max="7174" width="9" style="7"/>
    <col min="7175" max="7175" width="8.08203125" style="7" bestFit="1" customWidth="1"/>
    <col min="7176" max="7420" width="9" style="7"/>
    <col min="7421" max="7421" width="4" style="7" customWidth="1"/>
    <col min="7422" max="7422" width="16.08203125" style="7" customWidth="1"/>
    <col min="7423" max="7423" width="10.58203125" style="7" customWidth="1"/>
    <col min="7424" max="7424" width="11.83203125" style="7" customWidth="1"/>
    <col min="7425" max="7426" width="9" style="7"/>
    <col min="7427" max="7427" width="15.58203125" style="7" customWidth="1"/>
    <col min="7428" max="7428" width="9" style="7"/>
    <col min="7429" max="7429" width="8.5" style="7" bestFit="1" customWidth="1"/>
    <col min="7430" max="7430" width="9" style="7"/>
    <col min="7431" max="7431" width="8.08203125" style="7" bestFit="1" customWidth="1"/>
    <col min="7432" max="7676" width="9" style="7"/>
    <col min="7677" max="7677" width="4" style="7" customWidth="1"/>
    <col min="7678" max="7678" width="16.08203125" style="7" customWidth="1"/>
    <col min="7679" max="7679" width="10.58203125" style="7" customWidth="1"/>
    <col min="7680" max="7680" width="11.83203125" style="7" customWidth="1"/>
    <col min="7681" max="7682" width="9" style="7"/>
    <col min="7683" max="7683" width="15.58203125" style="7" customWidth="1"/>
    <col min="7684" max="7684" width="9" style="7"/>
    <col min="7685" max="7685" width="8.5" style="7" bestFit="1" customWidth="1"/>
    <col min="7686" max="7686" width="9" style="7"/>
    <col min="7687" max="7687" width="8.08203125" style="7" bestFit="1" customWidth="1"/>
    <col min="7688" max="7932" width="9" style="7"/>
    <col min="7933" max="7933" width="4" style="7" customWidth="1"/>
    <col min="7934" max="7934" width="16.08203125" style="7" customWidth="1"/>
    <col min="7935" max="7935" width="10.58203125" style="7" customWidth="1"/>
    <col min="7936" max="7936" width="11.83203125" style="7" customWidth="1"/>
    <col min="7937" max="7938" width="9" style="7"/>
    <col min="7939" max="7939" width="15.58203125" style="7" customWidth="1"/>
    <col min="7940" max="7940" width="9" style="7"/>
    <col min="7941" max="7941" width="8.5" style="7" bestFit="1" customWidth="1"/>
    <col min="7942" max="7942" width="9" style="7"/>
    <col min="7943" max="7943" width="8.08203125" style="7" bestFit="1" customWidth="1"/>
    <col min="7944" max="8188" width="9" style="7"/>
    <col min="8189" max="8189" width="4" style="7" customWidth="1"/>
    <col min="8190" max="8190" width="16.08203125" style="7" customWidth="1"/>
    <col min="8191" max="8191" width="10.58203125" style="7" customWidth="1"/>
    <col min="8192" max="8192" width="11.83203125" style="7" customWidth="1"/>
    <col min="8193" max="8194" width="9" style="7"/>
    <col min="8195" max="8195" width="15.58203125" style="7" customWidth="1"/>
    <col min="8196" max="8196" width="9" style="7"/>
    <col min="8197" max="8197" width="8.5" style="7" bestFit="1" customWidth="1"/>
    <col min="8198" max="8198" width="9" style="7"/>
    <col min="8199" max="8199" width="8.08203125" style="7" bestFit="1" customWidth="1"/>
    <col min="8200" max="8444" width="9" style="7"/>
    <col min="8445" max="8445" width="4" style="7" customWidth="1"/>
    <col min="8446" max="8446" width="16.08203125" style="7" customWidth="1"/>
    <col min="8447" max="8447" width="10.58203125" style="7" customWidth="1"/>
    <col min="8448" max="8448" width="11.83203125" style="7" customWidth="1"/>
    <col min="8449" max="8450" width="9" style="7"/>
    <col min="8451" max="8451" width="15.58203125" style="7" customWidth="1"/>
    <col min="8452" max="8452" width="9" style="7"/>
    <col min="8453" max="8453" width="8.5" style="7" bestFit="1" customWidth="1"/>
    <col min="8454" max="8454" width="9" style="7"/>
    <col min="8455" max="8455" width="8.08203125" style="7" bestFit="1" customWidth="1"/>
    <col min="8456" max="8700" width="9" style="7"/>
    <col min="8701" max="8701" width="4" style="7" customWidth="1"/>
    <col min="8702" max="8702" width="16.08203125" style="7" customWidth="1"/>
    <col min="8703" max="8703" width="10.58203125" style="7" customWidth="1"/>
    <col min="8704" max="8704" width="11.83203125" style="7" customWidth="1"/>
    <col min="8705" max="8706" width="9" style="7"/>
    <col min="8707" max="8707" width="15.58203125" style="7" customWidth="1"/>
    <col min="8708" max="8708" width="9" style="7"/>
    <col min="8709" max="8709" width="8.5" style="7" bestFit="1" customWidth="1"/>
    <col min="8710" max="8710" width="9" style="7"/>
    <col min="8711" max="8711" width="8.08203125" style="7" bestFit="1" customWidth="1"/>
    <col min="8712" max="8956" width="9" style="7"/>
    <col min="8957" max="8957" width="4" style="7" customWidth="1"/>
    <col min="8958" max="8958" width="16.08203125" style="7" customWidth="1"/>
    <col min="8959" max="8959" width="10.58203125" style="7" customWidth="1"/>
    <col min="8960" max="8960" width="11.83203125" style="7" customWidth="1"/>
    <col min="8961" max="8962" width="9" style="7"/>
    <col min="8963" max="8963" width="15.58203125" style="7" customWidth="1"/>
    <col min="8964" max="8964" width="9" style="7"/>
    <col min="8965" max="8965" width="8.5" style="7" bestFit="1" customWidth="1"/>
    <col min="8966" max="8966" width="9" style="7"/>
    <col min="8967" max="8967" width="8.08203125" style="7" bestFit="1" customWidth="1"/>
    <col min="8968" max="9212" width="9" style="7"/>
    <col min="9213" max="9213" width="4" style="7" customWidth="1"/>
    <col min="9214" max="9214" width="16.08203125" style="7" customWidth="1"/>
    <col min="9215" max="9215" width="10.58203125" style="7" customWidth="1"/>
    <col min="9216" max="9216" width="11.83203125" style="7" customWidth="1"/>
    <col min="9217" max="9218" width="9" style="7"/>
    <col min="9219" max="9219" width="15.58203125" style="7" customWidth="1"/>
    <col min="9220" max="9220" width="9" style="7"/>
    <col min="9221" max="9221" width="8.5" style="7" bestFit="1" customWidth="1"/>
    <col min="9222" max="9222" width="9" style="7"/>
    <col min="9223" max="9223" width="8.08203125" style="7" bestFit="1" customWidth="1"/>
    <col min="9224" max="9468" width="9" style="7"/>
    <col min="9469" max="9469" width="4" style="7" customWidth="1"/>
    <col min="9470" max="9470" width="16.08203125" style="7" customWidth="1"/>
    <col min="9471" max="9471" width="10.58203125" style="7" customWidth="1"/>
    <col min="9472" max="9472" width="11.83203125" style="7" customWidth="1"/>
    <col min="9473" max="9474" width="9" style="7"/>
    <col min="9475" max="9475" width="15.58203125" style="7" customWidth="1"/>
    <col min="9476" max="9476" width="9" style="7"/>
    <col min="9477" max="9477" width="8.5" style="7" bestFit="1" customWidth="1"/>
    <col min="9478" max="9478" width="9" style="7"/>
    <col min="9479" max="9479" width="8.08203125" style="7" bestFit="1" customWidth="1"/>
    <col min="9480" max="9724" width="9" style="7"/>
    <col min="9725" max="9725" width="4" style="7" customWidth="1"/>
    <col min="9726" max="9726" width="16.08203125" style="7" customWidth="1"/>
    <col min="9727" max="9727" width="10.58203125" style="7" customWidth="1"/>
    <col min="9728" max="9728" width="11.83203125" style="7" customWidth="1"/>
    <col min="9729" max="9730" width="9" style="7"/>
    <col min="9731" max="9731" width="15.58203125" style="7" customWidth="1"/>
    <col min="9732" max="9732" width="9" style="7"/>
    <col min="9733" max="9733" width="8.5" style="7" bestFit="1" customWidth="1"/>
    <col min="9734" max="9734" width="9" style="7"/>
    <col min="9735" max="9735" width="8.08203125" style="7" bestFit="1" customWidth="1"/>
    <col min="9736" max="9980" width="9" style="7"/>
    <col min="9981" max="9981" width="4" style="7" customWidth="1"/>
    <col min="9982" max="9982" width="16.08203125" style="7" customWidth="1"/>
    <col min="9983" max="9983" width="10.58203125" style="7" customWidth="1"/>
    <col min="9984" max="9984" width="11.83203125" style="7" customWidth="1"/>
    <col min="9985" max="9986" width="9" style="7"/>
    <col min="9987" max="9987" width="15.58203125" style="7" customWidth="1"/>
    <col min="9988" max="9988" width="9" style="7"/>
    <col min="9989" max="9989" width="8.5" style="7" bestFit="1" customWidth="1"/>
    <col min="9990" max="9990" width="9" style="7"/>
    <col min="9991" max="9991" width="8.08203125" style="7" bestFit="1" customWidth="1"/>
    <col min="9992" max="10236" width="9" style="7"/>
    <col min="10237" max="10237" width="4" style="7" customWidth="1"/>
    <col min="10238" max="10238" width="16.08203125" style="7" customWidth="1"/>
    <col min="10239" max="10239" width="10.58203125" style="7" customWidth="1"/>
    <col min="10240" max="10240" width="11.83203125" style="7" customWidth="1"/>
    <col min="10241" max="10242" width="9" style="7"/>
    <col min="10243" max="10243" width="15.58203125" style="7" customWidth="1"/>
    <col min="10244" max="10244" width="9" style="7"/>
    <col min="10245" max="10245" width="8.5" style="7" bestFit="1" customWidth="1"/>
    <col min="10246" max="10246" width="9" style="7"/>
    <col min="10247" max="10247" width="8.08203125" style="7" bestFit="1" customWidth="1"/>
    <col min="10248" max="10492" width="9" style="7"/>
    <col min="10493" max="10493" width="4" style="7" customWidth="1"/>
    <col min="10494" max="10494" width="16.08203125" style="7" customWidth="1"/>
    <col min="10495" max="10495" width="10.58203125" style="7" customWidth="1"/>
    <col min="10496" max="10496" width="11.83203125" style="7" customWidth="1"/>
    <col min="10497" max="10498" width="9" style="7"/>
    <col min="10499" max="10499" width="15.58203125" style="7" customWidth="1"/>
    <col min="10500" max="10500" width="9" style="7"/>
    <col min="10501" max="10501" width="8.5" style="7" bestFit="1" customWidth="1"/>
    <col min="10502" max="10502" width="9" style="7"/>
    <col min="10503" max="10503" width="8.08203125" style="7" bestFit="1" customWidth="1"/>
    <col min="10504" max="10748" width="9" style="7"/>
    <col min="10749" max="10749" width="4" style="7" customWidth="1"/>
    <col min="10750" max="10750" width="16.08203125" style="7" customWidth="1"/>
    <col min="10751" max="10751" width="10.58203125" style="7" customWidth="1"/>
    <col min="10752" max="10752" width="11.83203125" style="7" customWidth="1"/>
    <col min="10753" max="10754" width="9" style="7"/>
    <col min="10755" max="10755" width="15.58203125" style="7" customWidth="1"/>
    <col min="10756" max="10756" width="9" style="7"/>
    <col min="10757" max="10757" width="8.5" style="7" bestFit="1" customWidth="1"/>
    <col min="10758" max="10758" width="9" style="7"/>
    <col min="10759" max="10759" width="8.08203125" style="7" bestFit="1" customWidth="1"/>
    <col min="10760" max="11004" width="9" style="7"/>
    <col min="11005" max="11005" width="4" style="7" customWidth="1"/>
    <col min="11006" max="11006" width="16.08203125" style="7" customWidth="1"/>
    <col min="11007" max="11007" width="10.58203125" style="7" customWidth="1"/>
    <col min="11008" max="11008" width="11.83203125" style="7" customWidth="1"/>
    <col min="11009" max="11010" width="9" style="7"/>
    <col min="11011" max="11011" width="15.58203125" style="7" customWidth="1"/>
    <col min="11012" max="11012" width="9" style="7"/>
    <col min="11013" max="11013" width="8.5" style="7" bestFit="1" customWidth="1"/>
    <col min="11014" max="11014" width="9" style="7"/>
    <col min="11015" max="11015" width="8.08203125" style="7" bestFit="1" customWidth="1"/>
    <col min="11016" max="11260" width="9" style="7"/>
    <col min="11261" max="11261" width="4" style="7" customWidth="1"/>
    <col min="11262" max="11262" width="16.08203125" style="7" customWidth="1"/>
    <col min="11263" max="11263" width="10.58203125" style="7" customWidth="1"/>
    <col min="11264" max="11264" width="11.83203125" style="7" customWidth="1"/>
    <col min="11265" max="11266" width="9" style="7"/>
    <col min="11267" max="11267" width="15.58203125" style="7" customWidth="1"/>
    <col min="11268" max="11268" width="9" style="7"/>
    <col min="11269" max="11269" width="8.5" style="7" bestFit="1" customWidth="1"/>
    <col min="11270" max="11270" width="9" style="7"/>
    <col min="11271" max="11271" width="8.08203125" style="7" bestFit="1" customWidth="1"/>
    <col min="11272" max="11516" width="9" style="7"/>
    <col min="11517" max="11517" width="4" style="7" customWidth="1"/>
    <col min="11518" max="11518" width="16.08203125" style="7" customWidth="1"/>
    <col min="11519" max="11519" width="10.58203125" style="7" customWidth="1"/>
    <col min="11520" max="11520" width="11.83203125" style="7" customWidth="1"/>
    <col min="11521" max="11522" width="9" style="7"/>
    <col min="11523" max="11523" width="15.58203125" style="7" customWidth="1"/>
    <col min="11524" max="11524" width="9" style="7"/>
    <col min="11525" max="11525" width="8.5" style="7" bestFit="1" customWidth="1"/>
    <col min="11526" max="11526" width="9" style="7"/>
    <col min="11527" max="11527" width="8.08203125" style="7" bestFit="1" customWidth="1"/>
    <col min="11528" max="11772" width="9" style="7"/>
    <col min="11773" max="11773" width="4" style="7" customWidth="1"/>
    <col min="11774" max="11774" width="16.08203125" style="7" customWidth="1"/>
    <col min="11775" max="11775" width="10.58203125" style="7" customWidth="1"/>
    <col min="11776" max="11776" width="11.83203125" style="7" customWidth="1"/>
    <col min="11777" max="11778" width="9" style="7"/>
    <col min="11779" max="11779" width="15.58203125" style="7" customWidth="1"/>
    <col min="11780" max="11780" width="9" style="7"/>
    <col min="11781" max="11781" width="8.5" style="7" bestFit="1" customWidth="1"/>
    <col min="11782" max="11782" width="9" style="7"/>
    <col min="11783" max="11783" width="8.08203125" style="7" bestFit="1" customWidth="1"/>
    <col min="11784" max="12028" width="9" style="7"/>
    <col min="12029" max="12029" width="4" style="7" customWidth="1"/>
    <col min="12030" max="12030" width="16.08203125" style="7" customWidth="1"/>
    <col min="12031" max="12031" width="10.58203125" style="7" customWidth="1"/>
    <col min="12032" max="12032" width="11.83203125" style="7" customWidth="1"/>
    <col min="12033" max="12034" width="9" style="7"/>
    <col min="12035" max="12035" width="15.58203125" style="7" customWidth="1"/>
    <col min="12036" max="12036" width="9" style="7"/>
    <col min="12037" max="12037" width="8.5" style="7" bestFit="1" customWidth="1"/>
    <col min="12038" max="12038" width="9" style="7"/>
    <col min="12039" max="12039" width="8.08203125" style="7" bestFit="1" customWidth="1"/>
    <col min="12040" max="12284" width="9" style="7"/>
    <col min="12285" max="12285" width="4" style="7" customWidth="1"/>
    <col min="12286" max="12286" width="16.08203125" style="7" customWidth="1"/>
    <col min="12287" max="12287" width="10.58203125" style="7" customWidth="1"/>
    <col min="12288" max="12288" width="11.83203125" style="7" customWidth="1"/>
    <col min="12289" max="12290" width="9" style="7"/>
    <col min="12291" max="12291" width="15.58203125" style="7" customWidth="1"/>
    <col min="12292" max="12292" width="9" style="7"/>
    <col min="12293" max="12293" width="8.5" style="7" bestFit="1" customWidth="1"/>
    <col min="12294" max="12294" width="9" style="7"/>
    <col min="12295" max="12295" width="8.08203125" style="7" bestFit="1" customWidth="1"/>
    <col min="12296" max="12540" width="9" style="7"/>
    <col min="12541" max="12541" width="4" style="7" customWidth="1"/>
    <col min="12542" max="12542" width="16.08203125" style="7" customWidth="1"/>
    <col min="12543" max="12543" width="10.58203125" style="7" customWidth="1"/>
    <col min="12544" max="12544" width="11.83203125" style="7" customWidth="1"/>
    <col min="12545" max="12546" width="9" style="7"/>
    <col min="12547" max="12547" width="15.58203125" style="7" customWidth="1"/>
    <col min="12548" max="12548" width="9" style="7"/>
    <col min="12549" max="12549" width="8.5" style="7" bestFit="1" customWidth="1"/>
    <col min="12550" max="12550" width="9" style="7"/>
    <col min="12551" max="12551" width="8.08203125" style="7" bestFit="1" customWidth="1"/>
    <col min="12552" max="12796" width="9" style="7"/>
    <col min="12797" max="12797" width="4" style="7" customWidth="1"/>
    <col min="12798" max="12798" width="16.08203125" style="7" customWidth="1"/>
    <col min="12799" max="12799" width="10.58203125" style="7" customWidth="1"/>
    <col min="12800" max="12800" width="11.83203125" style="7" customWidth="1"/>
    <col min="12801" max="12802" width="9" style="7"/>
    <col min="12803" max="12803" width="15.58203125" style="7" customWidth="1"/>
    <col min="12804" max="12804" width="9" style="7"/>
    <col min="12805" max="12805" width="8.5" style="7" bestFit="1" customWidth="1"/>
    <col min="12806" max="12806" width="9" style="7"/>
    <col min="12807" max="12807" width="8.08203125" style="7" bestFit="1" customWidth="1"/>
    <col min="12808" max="13052" width="9" style="7"/>
    <col min="13053" max="13053" width="4" style="7" customWidth="1"/>
    <col min="13054" max="13054" width="16.08203125" style="7" customWidth="1"/>
    <col min="13055" max="13055" width="10.58203125" style="7" customWidth="1"/>
    <col min="13056" max="13056" width="11.83203125" style="7" customWidth="1"/>
    <col min="13057" max="13058" width="9" style="7"/>
    <col min="13059" max="13059" width="15.58203125" style="7" customWidth="1"/>
    <col min="13060" max="13060" width="9" style="7"/>
    <col min="13061" max="13061" width="8.5" style="7" bestFit="1" customWidth="1"/>
    <col min="13062" max="13062" width="9" style="7"/>
    <col min="13063" max="13063" width="8.08203125" style="7" bestFit="1" customWidth="1"/>
    <col min="13064" max="13308" width="9" style="7"/>
    <col min="13309" max="13309" width="4" style="7" customWidth="1"/>
    <col min="13310" max="13310" width="16.08203125" style="7" customWidth="1"/>
    <col min="13311" max="13311" width="10.58203125" style="7" customWidth="1"/>
    <col min="13312" max="13312" width="11.83203125" style="7" customWidth="1"/>
    <col min="13313" max="13314" width="9" style="7"/>
    <col min="13315" max="13315" width="15.58203125" style="7" customWidth="1"/>
    <col min="13316" max="13316" width="9" style="7"/>
    <col min="13317" max="13317" width="8.5" style="7" bestFit="1" customWidth="1"/>
    <col min="13318" max="13318" width="9" style="7"/>
    <col min="13319" max="13319" width="8.08203125" style="7" bestFit="1" customWidth="1"/>
    <col min="13320" max="13564" width="9" style="7"/>
    <col min="13565" max="13565" width="4" style="7" customWidth="1"/>
    <col min="13566" max="13566" width="16.08203125" style="7" customWidth="1"/>
    <col min="13567" max="13567" width="10.58203125" style="7" customWidth="1"/>
    <col min="13568" max="13568" width="11.83203125" style="7" customWidth="1"/>
    <col min="13569" max="13570" width="9" style="7"/>
    <col min="13571" max="13571" width="15.58203125" style="7" customWidth="1"/>
    <col min="13572" max="13572" width="9" style="7"/>
    <col min="13573" max="13573" width="8.5" style="7" bestFit="1" customWidth="1"/>
    <col min="13574" max="13574" width="9" style="7"/>
    <col min="13575" max="13575" width="8.08203125" style="7" bestFit="1" customWidth="1"/>
    <col min="13576" max="13820" width="9" style="7"/>
    <col min="13821" max="13821" width="4" style="7" customWidth="1"/>
    <col min="13822" max="13822" width="16.08203125" style="7" customWidth="1"/>
    <col min="13823" max="13823" width="10.58203125" style="7" customWidth="1"/>
    <col min="13824" max="13824" width="11.83203125" style="7" customWidth="1"/>
    <col min="13825" max="13826" width="9" style="7"/>
    <col min="13827" max="13827" width="15.58203125" style="7" customWidth="1"/>
    <col min="13828" max="13828" width="9" style="7"/>
    <col min="13829" max="13829" width="8.5" style="7" bestFit="1" customWidth="1"/>
    <col min="13830" max="13830" width="9" style="7"/>
    <col min="13831" max="13831" width="8.08203125" style="7" bestFit="1" customWidth="1"/>
    <col min="13832" max="14076" width="9" style="7"/>
    <col min="14077" max="14077" width="4" style="7" customWidth="1"/>
    <col min="14078" max="14078" width="16.08203125" style="7" customWidth="1"/>
    <col min="14079" max="14079" width="10.58203125" style="7" customWidth="1"/>
    <col min="14080" max="14080" width="11.83203125" style="7" customWidth="1"/>
    <col min="14081" max="14082" width="9" style="7"/>
    <col min="14083" max="14083" width="15.58203125" style="7" customWidth="1"/>
    <col min="14084" max="14084" width="9" style="7"/>
    <col min="14085" max="14085" width="8.5" style="7" bestFit="1" customWidth="1"/>
    <col min="14086" max="14086" width="9" style="7"/>
    <col min="14087" max="14087" width="8.08203125" style="7" bestFit="1" customWidth="1"/>
    <col min="14088" max="14332" width="9" style="7"/>
    <col min="14333" max="14333" width="4" style="7" customWidth="1"/>
    <col min="14334" max="14334" width="16.08203125" style="7" customWidth="1"/>
    <col min="14335" max="14335" width="10.58203125" style="7" customWidth="1"/>
    <col min="14336" max="14336" width="11.83203125" style="7" customWidth="1"/>
    <col min="14337" max="14338" width="9" style="7"/>
    <col min="14339" max="14339" width="15.58203125" style="7" customWidth="1"/>
    <col min="14340" max="14340" width="9" style="7"/>
    <col min="14341" max="14341" width="8.5" style="7" bestFit="1" customWidth="1"/>
    <col min="14342" max="14342" width="9" style="7"/>
    <col min="14343" max="14343" width="8.08203125" style="7" bestFit="1" customWidth="1"/>
    <col min="14344" max="14588" width="9" style="7"/>
    <col min="14589" max="14589" width="4" style="7" customWidth="1"/>
    <col min="14590" max="14590" width="16.08203125" style="7" customWidth="1"/>
    <col min="14591" max="14591" width="10.58203125" style="7" customWidth="1"/>
    <col min="14592" max="14592" width="11.83203125" style="7" customWidth="1"/>
    <col min="14593" max="14594" width="9" style="7"/>
    <col min="14595" max="14595" width="15.58203125" style="7" customWidth="1"/>
    <col min="14596" max="14596" width="9" style="7"/>
    <col min="14597" max="14597" width="8.5" style="7" bestFit="1" customWidth="1"/>
    <col min="14598" max="14598" width="9" style="7"/>
    <col min="14599" max="14599" width="8.08203125" style="7" bestFit="1" customWidth="1"/>
    <col min="14600" max="14844" width="9" style="7"/>
    <col min="14845" max="14845" width="4" style="7" customWidth="1"/>
    <col min="14846" max="14846" width="16.08203125" style="7" customWidth="1"/>
    <col min="14847" max="14847" width="10.58203125" style="7" customWidth="1"/>
    <col min="14848" max="14848" width="11.83203125" style="7" customWidth="1"/>
    <col min="14849" max="14850" width="9" style="7"/>
    <col min="14851" max="14851" width="15.58203125" style="7" customWidth="1"/>
    <col min="14852" max="14852" width="9" style="7"/>
    <col min="14853" max="14853" width="8.5" style="7" bestFit="1" customWidth="1"/>
    <col min="14854" max="14854" width="9" style="7"/>
    <col min="14855" max="14855" width="8.08203125" style="7" bestFit="1" customWidth="1"/>
    <col min="14856" max="15100" width="9" style="7"/>
    <col min="15101" max="15101" width="4" style="7" customWidth="1"/>
    <col min="15102" max="15102" width="16.08203125" style="7" customWidth="1"/>
    <col min="15103" max="15103" width="10.58203125" style="7" customWidth="1"/>
    <col min="15104" max="15104" width="11.83203125" style="7" customWidth="1"/>
    <col min="15105" max="15106" width="9" style="7"/>
    <col min="15107" max="15107" width="15.58203125" style="7" customWidth="1"/>
    <col min="15108" max="15108" width="9" style="7"/>
    <col min="15109" max="15109" width="8.5" style="7" bestFit="1" customWidth="1"/>
    <col min="15110" max="15110" width="9" style="7"/>
    <col min="15111" max="15111" width="8.08203125" style="7" bestFit="1" customWidth="1"/>
    <col min="15112" max="15356" width="9" style="7"/>
    <col min="15357" max="15357" width="4" style="7" customWidth="1"/>
    <col min="15358" max="15358" width="16.08203125" style="7" customWidth="1"/>
    <col min="15359" max="15359" width="10.58203125" style="7" customWidth="1"/>
    <col min="15360" max="15360" width="11.83203125" style="7" customWidth="1"/>
    <col min="15361" max="15362" width="9" style="7"/>
    <col min="15363" max="15363" width="15.58203125" style="7" customWidth="1"/>
    <col min="15364" max="15364" width="9" style="7"/>
    <col min="15365" max="15365" width="8.5" style="7" bestFit="1" customWidth="1"/>
    <col min="15366" max="15366" width="9" style="7"/>
    <col min="15367" max="15367" width="8.08203125" style="7" bestFit="1" customWidth="1"/>
    <col min="15368" max="15612" width="9" style="7"/>
    <col min="15613" max="15613" width="4" style="7" customWidth="1"/>
    <col min="15614" max="15614" width="16.08203125" style="7" customWidth="1"/>
    <col min="15615" max="15615" width="10.58203125" style="7" customWidth="1"/>
    <col min="15616" max="15616" width="11.83203125" style="7" customWidth="1"/>
    <col min="15617" max="15618" width="9" style="7"/>
    <col min="15619" max="15619" width="15.58203125" style="7" customWidth="1"/>
    <col min="15620" max="15620" width="9" style="7"/>
    <col min="15621" max="15621" width="8.5" style="7" bestFit="1" customWidth="1"/>
    <col min="15622" max="15622" width="9" style="7"/>
    <col min="15623" max="15623" width="8.08203125" style="7" bestFit="1" customWidth="1"/>
    <col min="15624" max="15868" width="9" style="7"/>
    <col min="15869" max="15869" width="4" style="7" customWidth="1"/>
    <col min="15870" max="15870" width="16.08203125" style="7" customWidth="1"/>
    <col min="15871" max="15871" width="10.58203125" style="7" customWidth="1"/>
    <col min="15872" max="15872" width="11.83203125" style="7" customWidth="1"/>
    <col min="15873" max="15874" width="9" style="7"/>
    <col min="15875" max="15875" width="15.58203125" style="7" customWidth="1"/>
    <col min="15876" max="15876" width="9" style="7"/>
    <col min="15877" max="15877" width="8.5" style="7" bestFit="1" customWidth="1"/>
    <col min="15878" max="15878" width="9" style="7"/>
    <col min="15879" max="15879" width="8.08203125" style="7" bestFit="1" customWidth="1"/>
    <col min="15880" max="16124" width="9" style="7"/>
    <col min="16125" max="16125" width="4" style="7" customWidth="1"/>
    <col min="16126" max="16126" width="16.08203125" style="7" customWidth="1"/>
    <col min="16127" max="16127" width="10.58203125" style="7" customWidth="1"/>
    <col min="16128" max="16128" width="11.83203125" style="7" customWidth="1"/>
    <col min="16129" max="16130" width="9" style="7"/>
    <col min="16131" max="16131" width="15.58203125" style="7" customWidth="1"/>
    <col min="16132" max="16132" width="9" style="7"/>
    <col min="16133" max="16133" width="8.5" style="7" bestFit="1" customWidth="1"/>
    <col min="16134" max="16134" width="9" style="7"/>
    <col min="16135" max="16135" width="8.08203125" style="7" bestFit="1" customWidth="1"/>
    <col min="16136" max="16384" width="9" style="7"/>
  </cols>
  <sheetData>
    <row r="1" spans="1:16" ht="31.5" thickBot="1" x14ac:dyDescent="0.4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5" t="s">
        <v>6</v>
      </c>
      <c r="H1" s="5" t="s">
        <v>0</v>
      </c>
      <c r="I1" s="5" t="s">
        <v>60</v>
      </c>
      <c r="J1" s="5" t="s">
        <v>61</v>
      </c>
      <c r="K1" s="6" t="s">
        <v>7</v>
      </c>
      <c r="L1" s="5" t="s">
        <v>0</v>
      </c>
      <c r="M1" s="6" t="s">
        <v>8</v>
      </c>
      <c r="N1" s="4" t="s">
        <v>0</v>
      </c>
      <c r="O1" s="6" t="s">
        <v>9</v>
      </c>
      <c r="P1" s="4" t="s">
        <v>0</v>
      </c>
    </row>
    <row r="2" spans="1:16" x14ac:dyDescent="0.35">
      <c r="A2" s="8">
        <v>1</v>
      </c>
      <c r="B2" s="9" t="s">
        <v>10</v>
      </c>
      <c r="C2" s="10">
        <v>39539</v>
      </c>
      <c r="D2" s="11" t="s">
        <v>11</v>
      </c>
      <c r="E2" s="12">
        <v>2024</v>
      </c>
      <c r="F2" s="15">
        <v>24</v>
      </c>
      <c r="G2" s="44" t="s">
        <v>12</v>
      </c>
      <c r="H2" s="12">
        <v>8</v>
      </c>
      <c r="I2" s="15" t="s">
        <v>59</v>
      </c>
      <c r="J2" s="12">
        <v>8</v>
      </c>
      <c r="K2" s="14">
        <v>45708</v>
      </c>
      <c r="L2" s="15">
        <v>1</v>
      </c>
      <c r="M2" s="14">
        <v>45670</v>
      </c>
      <c r="N2" s="15">
        <v>1</v>
      </c>
      <c r="O2" s="14"/>
      <c r="P2" s="15"/>
    </row>
    <row r="3" spans="1:16" x14ac:dyDescent="0.35">
      <c r="A3" s="16"/>
      <c r="B3" s="17" t="s">
        <v>13</v>
      </c>
      <c r="C3" s="18"/>
      <c r="D3" s="19"/>
      <c r="E3" s="20">
        <v>2025</v>
      </c>
      <c r="F3" s="22">
        <v>21</v>
      </c>
      <c r="G3" s="68" t="s">
        <v>14</v>
      </c>
      <c r="H3" s="20">
        <v>4</v>
      </c>
      <c r="I3" s="22" t="s">
        <v>62</v>
      </c>
      <c r="J3" s="20"/>
      <c r="K3" s="21">
        <v>45799</v>
      </c>
      <c r="L3" s="22">
        <v>1</v>
      </c>
      <c r="M3" s="21">
        <v>45671</v>
      </c>
      <c r="N3" s="16">
        <v>1</v>
      </c>
      <c r="O3" s="21"/>
      <c r="P3" s="20"/>
    </row>
    <row r="4" spans="1:16" x14ac:dyDescent="0.35">
      <c r="A4" s="16"/>
      <c r="B4" s="23"/>
      <c r="C4" s="18"/>
      <c r="D4" s="19"/>
      <c r="E4" s="20"/>
      <c r="F4" s="22"/>
      <c r="G4" s="68" t="s">
        <v>43</v>
      </c>
      <c r="H4" s="20">
        <v>3</v>
      </c>
      <c r="I4" s="22" t="s">
        <v>68</v>
      </c>
      <c r="J4" s="20"/>
      <c r="K4" s="21">
        <v>45862</v>
      </c>
      <c r="L4" s="22">
        <v>1</v>
      </c>
      <c r="M4" s="21">
        <v>45817</v>
      </c>
      <c r="N4" s="22">
        <v>1</v>
      </c>
      <c r="O4" s="21"/>
      <c r="P4" s="20"/>
    </row>
    <row r="5" spans="1:16" x14ac:dyDescent="0.35">
      <c r="A5" s="16"/>
      <c r="B5" s="23"/>
      <c r="C5" s="18"/>
      <c r="D5" s="19"/>
      <c r="E5" s="20"/>
      <c r="F5" s="22"/>
      <c r="G5" s="68" t="s">
        <v>45</v>
      </c>
      <c r="H5" s="20">
        <v>4</v>
      </c>
      <c r="I5" s="22" t="s">
        <v>63</v>
      </c>
      <c r="J5" s="20"/>
      <c r="K5" s="21">
        <v>45929</v>
      </c>
      <c r="L5" s="22">
        <v>1</v>
      </c>
      <c r="M5" s="21">
        <v>45818</v>
      </c>
      <c r="N5" s="22">
        <v>1</v>
      </c>
      <c r="O5" s="21"/>
      <c r="P5" s="22"/>
    </row>
    <row r="6" spans="1:16" x14ac:dyDescent="0.35">
      <c r="A6" s="16"/>
      <c r="B6" s="23"/>
      <c r="C6" s="18"/>
      <c r="D6" s="19"/>
      <c r="E6" s="20"/>
      <c r="F6" s="22"/>
      <c r="G6" s="68" t="s">
        <v>46</v>
      </c>
      <c r="H6" s="20">
        <v>2</v>
      </c>
      <c r="I6" s="22" t="s">
        <v>69</v>
      </c>
      <c r="J6" s="20"/>
      <c r="K6" s="21">
        <v>45936</v>
      </c>
      <c r="L6" s="22">
        <v>0.5</v>
      </c>
      <c r="M6" s="21">
        <v>45880</v>
      </c>
      <c r="N6" s="22">
        <v>1</v>
      </c>
      <c r="O6" s="21"/>
      <c r="P6" s="22"/>
    </row>
    <row r="7" spans="1:16" x14ac:dyDescent="0.35">
      <c r="A7" s="16"/>
      <c r="B7" s="23"/>
      <c r="C7" s="18"/>
      <c r="D7" s="19"/>
      <c r="E7" s="20"/>
      <c r="F7" s="22"/>
      <c r="G7" s="68"/>
      <c r="H7" s="20"/>
      <c r="I7" s="22" t="s">
        <v>64</v>
      </c>
      <c r="J7" s="20">
        <v>4</v>
      </c>
      <c r="K7" s="21">
        <v>45954</v>
      </c>
      <c r="L7" s="22">
        <v>1</v>
      </c>
      <c r="M7" s="21">
        <v>45881</v>
      </c>
      <c r="N7" s="22">
        <v>1</v>
      </c>
      <c r="O7" s="21"/>
      <c r="P7" s="22"/>
    </row>
    <row r="8" spans="1:16" x14ac:dyDescent="0.35">
      <c r="A8" s="16"/>
      <c r="B8" s="23"/>
      <c r="C8" s="18"/>
      <c r="D8" s="19"/>
      <c r="E8" s="20"/>
      <c r="F8" s="22"/>
      <c r="G8" s="45"/>
      <c r="H8" s="20"/>
      <c r="I8" s="22" t="s">
        <v>65</v>
      </c>
      <c r="J8" s="20"/>
      <c r="K8" s="21">
        <v>45959</v>
      </c>
      <c r="L8" s="22">
        <v>1</v>
      </c>
      <c r="M8" s="21">
        <v>45919</v>
      </c>
      <c r="N8" s="22">
        <v>1</v>
      </c>
      <c r="O8" s="21"/>
      <c r="P8" s="22"/>
    </row>
    <row r="9" spans="1:16" x14ac:dyDescent="0.35">
      <c r="A9" s="16"/>
      <c r="B9" s="23"/>
      <c r="C9" s="18"/>
      <c r="D9" s="19"/>
      <c r="E9" s="20"/>
      <c r="F9" s="22"/>
      <c r="G9" s="45"/>
      <c r="H9" s="20"/>
      <c r="I9" s="22" t="s">
        <v>66</v>
      </c>
      <c r="J9" s="20">
        <v>3</v>
      </c>
      <c r="K9" s="21">
        <v>45960</v>
      </c>
      <c r="L9" s="22">
        <v>1</v>
      </c>
      <c r="M9" s="21">
        <v>46000</v>
      </c>
      <c r="N9" s="22">
        <v>1</v>
      </c>
      <c r="O9" s="21"/>
      <c r="P9" s="22"/>
    </row>
    <row r="10" spans="1:16" ht="16" thickBot="1" x14ac:dyDescent="0.4">
      <c r="A10" s="16"/>
      <c r="B10" s="23"/>
      <c r="C10" s="18"/>
      <c r="D10" s="19"/>
      <c r="E10" s="20"/>
      <c r="F10" s="22"/>
      <c r="G10" s="45"/>
      <c r="H10" s="20"/>
      <c r="I10" s="55" t="s">
        <v>67</v>
      </c>
      <c r="J10" s="20">
        <v>6</v>
      </c>
      <c r="K10" s="21">
        <v>45972</v>
      </c>
      <c r="L10" s="22">
        <v>1</v>
      </c>
      <c r="M10" s="21">
        <v>46001</v>
      </c>
      <c r="N10" s="22">
        <v>1</v>
      </c>
      <c r="O10" s="21"/>
      <c r="P10" s="22"/>
    </row>
    <row r="11" spans="1:16" x14ac:dyDescent="0.35">
      <c r="A11" s="16"/>
      <c r="B11" s="23"/>
      <c r="C11" s="18"/>
      <c r="D11" s="19"/>
      <c r="E11" s="20"/>
      <c r="F11" s="22"/>
      <c r="G11" s="45"/>
      <c r="H11" s="20"/>
      <c r="I11" s="20" t="s">
        <v>56</v>
      </c>
      <c r="J11" s="20"/>
      <c r="K11" s="21">
        <v>46003</v>
      </c>
      <c r="L11" s="22">
        <v>1</v>
      </c>
      <c r="M11" s="21"/>
      <c r="N11" s="22"/>
      <c r="O11" s="21"/>
      <c r="P11" s="22"/>
    </row>
    <row r="12" spans="1:16" x14ac:dyDescent="0.35">
      <c r="A12" s="16"/>
      <c r="B12" s="23"/>
      <c r="C12" s="18"/>
      <c r="D12" s="19"/>
      <c r="E12" s="20"/>
      <c r="F12" s="22"/>
      <c r="G12" s="45"/>
      <c r="H12" s="20"/>
      <c r="I12" s="20" t="s">
        <v>57</v>
      </c>
      <c r="J12" s="20"/>
      <c r="K12" s="21">
        <v>46021</v>
      </c>
      <c r="L12" s="22">
        <v>0.5</v>
      </c>
      <c r="M12" s="21"/>
      <c r="N12" s="22"/>
      <c r="O12" s="21"/>
      <c r="P12" s="22"/>
    </row>
    <row r="13" spans="1:16" ht="16" thickBot="1" x14ac:dyDescent="0.4">
      <c r="A13" s="16"/>
      <c r="B13" s="23"/>
      <c r="C13" s="18"/>
      <c r="D13" s="19"/>
      <c r="E13" s="20"/>
      <c r="F13" s="22"/>
      <c r="G13" s="45"/>
      <c r="H13" s="20"/>
      <c r="I13" s="20" t="s">
        <v>58</v>
      </c>
      <c r="J13" s="20"/>
      <c r="K13" s="21"/>
      <c r="L13" s="22"/>
      <c r="M13" s="21"/>
      <c r="N13" s="22"/>
      <c r="O13" s="21"/>
      <c r="P13" s="22"/>
    </row>
    <row r="14" spans="1:16" ht="16" thickBot="1" x14ac:dyDescent="0.4">
      <c r="A14" s="25"/>
      <c r="B14" s="26"/>
      <c r="C14" s="25"/>
      <c r="D14" s="27"/>
      <c r="E14" s="28"/>
      <c r="F14" s="29">
        <f>SUM(F2:F12)</f>
        <v>45</v>
      </c>
      <c r="G14" s="47"/>
      <c r="H14" s="29">
        <f>SUM(H2:H12)</f>
        <v>21</v>
      </c>
      <c r="I14" s="29"/>
      <c r="J14" s="29">
        <f>SUM(J2:J13)</f>
        <v>21</v>
      </c>
      <c r="K14" s="31"/>
      <c r="L14" s="29">
        <f>SUM(L2:L12)</f>
        <v>10</v>
      </c>
      <c r="M14" s="31"/>
      <c r="N14" s="29">
        <f>SUM(N2:N12)</f>
        <v>9</v>
      </c>
      <c r="O14" s="31"/>
      <c r="P14" s="29">
        <f>SUM(P2:P12)</f>
        <v>0</v>
      </c>
    </row>
    <row r="15" spans="1:16" ht="16" thickBot="1" x14ac:dyDescent="0.4">
      <c r="A15" s="26"/>
      <c r="B15" s="89" t="s">
        <v>15</v>
      </c>
      <c r="C15" s="89"/>
      <c r="D15" s="89"/>
      <c r="E15" s="89"/>
      <c r="F15" s="89"/>
      <c r="G15" s="90"/>
      <c r="H15" s="32">
        <f>SUM(F14-H14)</f>
        <v>24</v>
      </c>
      <c r="I15" s="32"/>
      <c r="J15" s="32"/>
      <c r="K15" s="33"/>
      <c r="L15" s="34">
        <f>SUM(10-L14)</f>
        <v>0</v>
      </c>
      <c r="M15" s="33"/>
      <c r="N15" s="34">
        <f>SUM(10-N14)</f>
        <v>1</v>
      </c>
      <c r="O15" s="33"/>
      <c r="P15" s="34"/>
    </row>
    <row r="16" spans="1:16" x14ac:dyDescent="0.35">
      <c r="A16" s="35"/>
      <c r="B16" s="35"/>
      <c r="C16" s="35"/>
      <c r="D16" s="36"/>
      <c r="E16" s="37"/>
      <c r="F16" s="38"/>
      <c r="G16" s="39"/>
      <c r="H16" s="39"/>
      <c r="I16" s="39"/>
      <c r="J16" s="39"/>
      <c r="K16" s="40"/>
      <c r="L16" s="41"/>
      <c r="M16" s="40"/>
      <c r="N16" s="39"/>
      <c r="O16" s="40"/>
      <c r="P16" s="39"/>
    </row>
    <row r="17" spans="1:16" ht="16" thickBot="1" x14ac:dyDescent="0.4">
      <c r="D17" s="42"/>
    </row>
    <row r="18" spans="1:16" x14ac:dyDescent="0.35">
      <c r="A18" s="8">
        <v>2</v>
      </c>
      <c r="B18" s="9" t="s">
        <v>16</v>
      </c>
      <c r="C18" s="10">
        <v>39778</v>
      </c>
      <c r="D18" s="11" t="s">
        <v>17</v>
      </c>
      <c r="E18" s="12">
        <v>2024</v>
      </c>
      <c r="F18" s="8">
        <v>24</v>
      </c>
      <c r="G18" s="13" t="s">
        <v>18</v>
      </c>
      <c r="H18" s="12">
        <v>5</v>
      </c>
      <c r="I18" s="15" t="s">
        <v>59</v>
      </c>
      <c r="J18" s="12"/>
      <c r="K18" s="44">
        <v>45748</v>
      </c>
      <c r="L18" s="15">
        <v>1</v>
      </c>
      <c r="M18" s="14">
        <v>45758</v>
      </c>
      <c r="N18" s="15">
        <v>1</v>
      </c>
      <c r="O18" s="14"/>
      <c r="P18" s="15"/>
    </row>
    <row r="19" spans="1:16" x14ac:dyDescent="0.35">
      <c r="A19" s="16"/>
      <c r="B19" s="23"/>
      <c r="C19" s="18"/>
      <c r="D19" s="19"/>
      <c r="E19" s="20">
        <v>2025</v>
      </c>
      <c r="F19" s="22">
        <v>21</v>
      </c>
      <c r="G19" s="99" t="s">
        <v>19</v>
      </c>
      <c r="H19" s="100">
        <v>10</v>
      </c>
      <c r="I19" s="22" t="s">
        <v>62</v>
      </c>
      <c r="J19" s="20"/>
      <c r="K19" s="21">
        <v>45803</v>
      </c>
      <c r="L19" s="20">
        <v>1</v>
      </c>
      <c r="M19" s="21">
        <v>45782</v>
      </c>
      <c r="N19" s="22">
        <v>1</v>
      </c>
      <c r="O19" s="21"/>
      <c r="P19" s="22"/>
    </row>
    <row r="20" spans="1:16" x14ac:dyDescent="0.35">
      <c r="A20" s="16"/>
      <c r="B20" s="23"/>
      <c r="C20" s="18"/>
      <c r="D20" s="19"/>
      <c r="E20" s="20"/>
      <c r="F20" s="22"/>
      <c r="G20" s="45" t="s">
        <v>20</v>
      </c>
      <c r="H20" s="20">
        <v>3</v>
      </c>
      <c r="I20" s="22" t="s">
        <v>68</v>
      </c>
      <c r="J20" s="20"/>
      <c r="K20" s="21">
        <v>45841</v>
      </c>
      <c r="L20" s="22">
        <v>1</v>
      </c>
      <c r="M20" s="21">
        <v>45783</v>
      </c>
      <c r="N20" s="22">
        <v>1</v>
      </c>
      <c r="O20" s="21"/>
      <c r="P20" s="22"/>
    </row>
    <row r="21" spans="1:16" x14ac:dyDescent="0.35">
      <c r="A21" s="16"/>
      <c r="B21" s="23"/>
      <c r="C21" s="18"/>
      <c r="D21" s="19"/>
      <c r="E21" s="20"/>
      <c r="F21" s="22"/>
      <c r="G21" s="21" t="s">
        <v>47</v>
      </c>
      <c r="H21" s="20">
        <v>3</v>
      </c>
      <c r="I21" s="22" t="s">
        <v>63</v>
      </c>
      <c r="J21" s="20"/>
      <c r="K21" s="21">
        <v>45912</v>
      </c>
      <c r="L21" s="22">
        <v>1</v>
      </c>
      <c r="M21" s="21">
        <v>45918</v>
      </c>
      <c r="N21" s="22">
        <v>1</v>
      </c>
      <c r="O21" s="21"/>
      <c r="P21" s="22"/>
    </row>
    <row r="22" spans="1:16" x14ac:dyDescent="0.35">
      <c r="A22" s="16"/>
      <c r="B22" s="23"/>
      <c r="C22" s="18"/>
      <c r="D22" s="19"/>
      <c r="E22" s="20"/>
      <c r="F22" s="22"/>
      <c r="G22" s="24"/>
      <c r="H22" s="20"/>
      <c r="I22" s="22" t="s">
        <v>69</v>
      </c>
      <c r="J22" s="20">
        <v>7</v>
      </c>
      <c r="K22" s="21">
        <v>45926</v>
      </c>
      <c r="L22" s="22">
        <v>1</v>
      </c>
      <c r="M22" s="21">
        <v>45919</v>
      </c>
      <c r="N22" s="22">
        <v>1</v>
      </c>
      <c r="O22" s="21"/>
      <c r="P22" s="22"/>
    </row>
    <row r="23" spans="1:16" x14ac:dyDescent="0.35">
      <c r="A23" s="16"/>
      <c r="B23" s="23"/>
      <c r="C23" s="18"/>
      <c r="D23" s="19"/>
      <c r="E23" s="20"/>
      <c r="F23" s="22"/>
      <c r="G23" s="45"/>
      <c r="H23" s="20"/>
      <c r="I23" s="22" t="s">
        <v>64</v>
      </c>
      <c r="J23" s="20">
        <v>4</v>
      </c>
      <c r="K23" s="21">
        <v>45959</v>
      </c>
      <c r="L23" s="22">
        <v>1</v>
      </c>
      <c r="M23" s="21">
        <v>45950</v>
      </c>
      <c r="N23" s="22">
        <v>1</v>
      </c>
      <c r="O23" s="21"/>
      <c r="P23" s="22"/>
    </row>
    <row r="24" spans="1:16" x14ac:dyDescent="0.35">
      <c r="A24" s="16"/>
      <c r="B24" s="23"/>
      <c r="C24" s="18"/>
      <c r="D24" s="19"/>
      <c r="E24" s="20"/>
      <c r="F24" s="22"/>
      <c r="G24" s="20"/>
      <c r="H24" s="20"/>
      <c r="I24" s="22" t="s">
        <v>65</v>
      </c>
      <c r="J24" s="20">
        <v>3</v>
      </c>
      <c r="K24" s="21">
        <v>45960</v>
      </c>
      <c r="L24" s="22">
        <v>1</v>
      </c>
      <c r="M24" s="21">
        <v>45954</v>
      </c>
      <c r="N24" s="22">
        <v>1</v>
      </c>
      <c r="O24" s="21"/>
      <c r="P24" s="22"/>
    </row>
    <row r="25" spans="1:16" x14ac:dyDescent="0.35">
      <c r="A25" s="16"/>
      <c r="B25" s="23"/>
      <c r="C25" s="18"/>
      <c r="D25" s="19"/>
      <c r="E25" s="20"/>
      <c r="F25" s="22"/>
      <c r="G25" s="20"/>
      <c r="H25" s="20"/>
      <c r="I25" s="22" t="s">
        <v>66</v>
      </c>
      <c r="J25" s="20"/>
      <c r="K25" s="21">
        <v>45979</v>
      </c>
      <c r="L25" s="22">
        <v>1</v>
      </c>
      <c r="M25" s="21">
        <v>45989</v>
      </c>
      <c r="N25" s="22">
        <v>1</v>
      </c>
      <c r="O25" s="21"/>
      <c r="P25" s="22"/>
    </row>
    <row r="26" spans="1:16" ht="16" thickBot="1" x14ac:dyDescent="0.4">
      <c r="A26" s="16"/>
      <c r="B26" s="23"/>
      <c r="C26" s="18"/>
      <c r="D26" s="19"/>
      <c r="E26" s="20"/>
      <c r="F26" s="22"/>
      <c r="G26" s="20"/>
      <c r="H26" s="20"/>
      <c r="I26" s="55" t="s">
        <v>67</v>
      </c>
      <c r="J26" s="20">
        <v>3</v>
      </c>
      <c r="K26" s="21">
        <v>45980</v>
      </c>
      <c r="L26" s="22">
        <v>1</v>
      </c>
      <c r="M26" s="21">
        <v>45992</v>
      </c>
      <c r="N26" s="22">
        <v>1</v>
      </c>
      <c r="O26" s="21"/>
      <c r="P26" s="22"/>
    </row>
    <row r="27" spans="1:16" ht="16" thickBot="1" x14ac:dyDescent="0.4">
      <c r="A27" s="16"/>
      <c r="B27" s="23"/>
      <c r="C27" s="18"/>
      <c r="D27" s="19"/>
      <c r="E27" s="20"/>
      <c r="F27" s="22"/>
      <c r="G27" s="20"/>
      <c r="H27" s="20"/>
      <c r="I27" s="20" t="s">
        <v>56</v>
      </c>
      <c r="J27" s="20"/>
      <c r="K27" s="21">
        <v>45981</v>
      </c>
      <c r="L27" s="22">
        <v>1</v>
      </c>
      <c r="M27" s="21">
        <v>45993</v>
      </c>
      <c r="N27" s="22">
        <v>1</v>
      </c>
      <c r="O27" s="46"/>
      <c r="P27" s="22"/>
    </row>
    <row r="28" spans="1:16" ht="16" thickBot="1" x14ac:dyDescent="0.4">
      <c r="A28" s="16"/>
      <c r="B28" s="23"/>
      <c r="C28" s="18"/>
      <c r="D28" s="19"/>
      <c r="E28" s="20"/>
      <c r="F28" s="22"/>
      <c r="G28" s="20"/>
      <c r="H28" s="20"/>
      <c r="I28" s="20" t="s">
        <v>57</v>
      </c>
      <c r="J28" s="20"/>
      <c r="K28" s="21"/>
      <c r="L28" s="22"/>
      <c r="M28" s="21"/>
      <c r="N28" s="22"/>
      <c r="O28" s="46"/>
      <c r="P28" s="22"/>
    </row>
    <row r="29" spans="1:16" ht="16" thickBot="1" x14ac:dyDescent="0.4">
      <c r="A29" s="16"/>
      <c r="B29" s="23"/>
      <c r="C29" s="18"/>
      <c r="D29" s="19"/>
      <c r="E29" s="20"/>
      <c r="F29" s="22"/>
      <c r="G29" s="20"/>
      <c r="H29" s="20"/>
      <c r="I29" s="20" t="s">
        <v>58</v>
      </c>
      <c r="J29" s="20"/>
      <c r="K29" s="21"/>
      <c r="L29" s="22"/>
      <c r="M29" s="21"/>
      <c r="N29" s="22"/>
      <c r="O29" s="46"/>
      <c r="P29" s="22"/>
    </row>
    <row r="30" spans="1:16" ht="16" thickBot="1" x14ac:dyDescent="0.4">
      <c r="A30" s="25"/>
      <c r="B30" s="26"/>
      <c r="C30" s="25"/>
      <c r="D30" s="27"/>
      <c r="E30" s="28"/>
      <c r="F30" s="29">
        <f>SUM(F18:F27)</f>
        <v>45</v>
      </c>
      <c r="G30" s="47"/>
      <c r="H30" s="29">
        <f>SUM(H18:H27)</f>
        <v>21</v>
      </c>
      <c r="I30" s="29"/>
      <c r="J30" s="29">
        <f>SUM(J18:J29)</f>
        <v>17</v>
      </c>
      <c r="K30" s="31"/>
      <c r="L30" s="29">
        <f>SUM(L18:L27)</f>
        <v>10</v>
      </c>
      <c r="M30" s="48"/>
      <c r="N30" s="29">
        <f>SUM(N18:N27)</f>
        <v>10</v>
      </c>
      <c r="O30" s="48"/>
      <c r="P30" s="29">
        <f>SUM(P18:P27)</f>
        <v>0</v>
      </c>
    </row>
    <row r="31" spans="1:16" ht="16" thickBot="1" x14ac:dyDescent="0.4">
      <c r="A31" s="26"/>
      <c r="B31" s="89" t="s">
        <v>15</v>
      </c>
      <c r="C31" s="89"/>
      <c r="D31" s="89"/>
      <c r="E31" s="89"/>
      <c r="F31" s="89"/>
      <c r="G31" s="90"/>
      <c r="H31" s="32">
        <f>SUM(F30-H30)</f>
        <v>24</v>
      </c>
      <c r="I31" s="32"/>
      <c r="J31" s="32"/>
      <c r="K31" s="33"/>
      <c r="L31" s="34">
        <f>SUM(10-L30)</f>
        <v>0</v>
      </c>
      <c r="M31" s="31"/>
      <c r="N31" s="34">
        <f>SUM(10-N30)</f>
        <v>0</v>
      </c>
      <c r="O31" s="31"/>
      <c r="P31" s="34"/>
    </row>
    <row r="32" spans="1:16" x14ac:dyDescent="0.35">
      <c r="A32" s="35"/>
      <c r="B32" s="35"/>
      <c r="C32" s="35"/>
      <c r="D32" s="36"/>
      <c r="E32" s="37"/>
      <c r="F32" s="38"/>
      <c r="G32" s="39"/>
      <c r="H32" s="39"/>
      <c r="I32" s="39"/>
      <c r="J32" s="39"/>
      <c r="K32" s="40"/>
      <c r="L32" s="41"/>
      <c r="M32" s="49"/>
      <c r="N32" s="39"/>
      <c r="O32" s="49"/>
      <c r="P32" s="39"/>
    </row>
    <row r="33" spans="1:16" ht="16" thickBot="1" x14ac:dyDescent="0.4">
      <c r="D33" s="42"/>
    </row>
    <row r="34" spans="1:16" x14ac:dyDescent="0.35">
      <c r="A34" s="8">
        <v>3</v>
      </c>
      <c r="B34" s="9" t="s">
        <v>21</v>
      </c>
      <c r="C34" s="10">
        <v>41683</v>
      </c>
      <c r="D34" s="11" t="s">
        <v>22</v>
      </c>
      <c r="E34" s="12">
        <v>2024</v>
      </c>
      <c r="F34" s="15">
        <v>23</v>
      </c>
      <c r="G34" s="13" t="s">
        <v>23</v>
      </c>
      <c r="H34" s="15">
        <v>5</v>
      </c>
      <c r="I34" s="15" t="s">
        <v>59</v>
      </c>
      <c r="J34" s="15"/>
      <c r="K34" s="14">
        <v>45776</v>
      </c>
      <c r="L34" s="15">
        <v>1</v>
      </c>
      <c r="M34" s="14">
        <v>45814</v>
      </c>
      <c r="N34" s="8">
        <v>1</v>
      </c>
      <c r="O34" s="14"/>
      <c r="P34" s="12"/>
    </row>
    <row r="35" spans="1:16" x14ac:dyDescent="0.35">
      <c r="A35" s="16"/>
      <c r="B35" s="23"/>
      <c r="C35" s="18"/>
      <c r="D35" s="19"/>
      <c r="E35" s="20">
        <v>2025</v>
      </c>
      <c r="F35" s="22">
        <v>21</v>
      </c>
      <c r="G35" s="45" t="s">
        <v>24</v>
      </c>
      <c r="H35" s="22">
        <v>3</v>
      </c>
      <c r="I35" s="22" t="s">
        <v>62</v>
      </c>
      <c r="J35" s="22"/>
      <c r="K35" s="21">
        <v>45798</v>
      </c>
      <c r="L35" s="22">
        <v>1</v>
      </c>
      <c r="M35" s="21">
        <v>45828</v>
      </c>
      <c r="N35" s="16">
        <v>1</v>
      </c>
      <c r="O35" s="21"/>
      <c r="P35" s="20"/>
    </row>
    <row r="36" spans="1:16" x14ac:dyDescent="0.35">
      <c r="A36" s="16"/>
      <c r="B36" s="23"/>
      <c r="C36" s="18"/>
      <c r="D36" s="19"/>
      <c r="E36" s="20"/>
      <c r="F36" s="22"/>
      <c r="G36" s="45" t="s">
        <v>25</v>
      </c>
      <c r="H36" s="22">
        <v>3</v>
      </c>
      <c r="I36" s="22" t="s">
        <v>68</v>
      </c>
      <c r="J36" s="22"/>
      <c r="K36" s="21">
        <v>45799</v>
      </c>
      <c r="L36" s="22">
        <v>1</v>
      </c>
      <c r="M36" s="21">
        <v>45848</v>
      </c>
      <c r="N36" s="16">
        <v>1</v>
      </c>
      <c r="O36" s="21"/>
      <c r="P36" s="20"/>
    </row>
    <row r="37" spans="1:16" x14ac:dyDescent="0.35">
      <c r="A37" s="16"/>
      <c r="B37" s="23"/>
      <c r="C37" s="18"/>
      <c r="D37" s="19"/>
      <c r="E37" s="20"/>
      <c r="F37" s="22"/>
      <c r="G37" s="21">
        <v>45967</v>
      </c>
      <c r="H37" s="22">
        <v>1</v>
      </c>
      <c r="I37" s="22" t="s">
        <v>63</v>
      </c>
      <c r="J37" s="22"/>
      <c r="K37" s="21">
        <v>45866</v>
      </c>
      <c r="L37" s="22">
        <v>1</v>
      </c>
      <c r="M37" s="21">
        <v>45852</v>
      </c>
      <c r="N37" s="16">
        <v>1</v>
      </c>
      <c r="O37" s="21"/>
      <c r="P37" s="20"/>
    </row>
    <row r="38" spans="1:16" x14ac:dyDescent="0.35">
      <c r="A38" s="16"/>
      <c r="B38" s="23"/>
      <c r="C38" s="18"/>
      <c r="D38" s="19"/>
      <c r="E38" s="20"/>
      <c r="F38" s="22"/>
      <c r="G38" s="21" t="s">
        <v>42</v>
      </c>
      <c r="H38" s="22">
        <v>2</v>
      </c>
      <c r="I38" s="22" t="s">
        <v>69</v>
      </c>
      <c r="J38" s="22"/>
      <c r="K38" s="21">
        <v>45867</v>
      </c>
      <c r="L38" s="22">
        <v>1</v>
      </c>
      <c r="M38" s="21">
        <v>45908</v>
      </c>
      <c r="N38" s="16">
        <v>1</v>
      </c>
      <c r="O38" s="21"/>
      <c r="P38" s="20"/>
    </row>
    <row r="39" spans="1:16" x14ac:dyDescent="0.35">
      <c r="A39" s="16"/>
      <c r="B39" s="23"/>
      <c r="C39" s="18"/>
      <c r="D39" s="19"/>
      <c r="E39" s="20"/>
      <c r="F39" s="22"/>
      <c r="G39" s="21">
        <v>45993</v>
      </c>
      <c r="H39" s="22">
        <v>1</v>
      </c>
      <c r="I39" s="22" t="s">
        <v>64</v>
      </c>
      <c r="J39" s="22"/>
      <c r="K39" s="21">
        <v>45868</v>
      </c>
      <c r="L39" s="22">
        <v>1</v>
      </c>
      <c r="M39" s="21">
        <v>45912</v>
      </c>
      <c r="N39" s="16">
        <v>1</v>
      </c>
      <c r="O39" s="21"/>
      <c r="P39" s="20"/>
    </row>
    <row r="40" spans="1:16" x14ac:dyDescent="0.35">
      <c r="A40" s="16"/>
      <c r="B40" s="23"/>
      <c r="C40" s="18"/>
      <c r="D40" s="19"/>
      <c r="E40" s="20"/>
      <c r="F40" s="22"/>
      <c r="G40" s="24" t="s">
        <v>48</v>
      </c>
      <c r="H40" s="22">
        <v>5</v>
      </c>
      <c r="I40" s="22" t="s">
        <v>65</v>
      </c>
      <c r="J40" s="22">
        <v>6</v>
      </c>
      <c r="K40" s="21">
        <v>45929</v>
      </c>
      <c r="L40" s="22">
        <v>1</v>
      </c>
      <c r="M40" s="21">
        <v>45980</v>
      </c>
      <c r="N40" s="16">
        <v>1</v>
      </c>
      <c r="O40" s="21"/>
      <c r="P40" s="20"/>
    </row>
    <row r="41" spans="1:16" x14ac:dyDescent="0.35">
      <c r="A41" s="16"/>
      <c r="B41" s="23"/>
      <c r="C41" s="18"/>
      <c r="D41" s="19"/>
      <c r="E41" s="20"/>
      <c r="F41" s="22"/>
      <c r="G41" s="24"/>
      <c r="H41" s="22"/>
      <c r="I41" s="22" t="s">
        <v>66</v>
      </c>
      <c r="J41" s="22">
        <v>3</v>
      </c>
      <c r="K41" s="21">
        <v>45950</v>
      </c>
      <c r="L41" s="22">
        <v>1</v>
      </c>
      <c r="M41" s="21">
        <v>45981</v>
      </c>
      <c r="N41" s="16">
        <v>1</v>
      </c>
      <c r="O41" s="21"/>
      <c r="P41" s="20"/>
    </row>
    <row r="42" spans="1:16" ht="16" thickBot="1" x14ac:dyDescent="0.4">
      <c r="A42" s="16"/>
      <c r="B42" s="23"/>
      <c r="C42" s="18"/>
      <c r="D42" s="19"/>
      <c r="E42" s="20"/>
      <c r="F42" s="22"/>
      <c r="G42" s="24"/>
      <c r="H42" s="22"/>
      <c r="I42" s="55" t="s">
        <v>67</v>
      </c>
      <c r="J42" s="22">
        <v>6</v>
      </c>
      <c r="K42" s="21">
        <v>45995</v>
      </c>
      <c r="L42" s="22">
        <v>1</v>
      </c>
      <c r="M42" s="21">
        <v>46021</v>
      </c>
      <c r="N42" s="16">
        <v>1</v>
      </c>
      <c r="O42" s="21"/>
      <c r="P42" s="20"/>
    </row>
    <row r="43" spans="1:16" x14ac:dyDescent="0.35">
      <c r="A43" s="16"/>
      <c r="B43" s="23"/>
      <c r="C43" s="18"/>
      <c r="D43" s="19"/>
      <c r="E43" s="20"/>
      <c r="F43" s="22"/>
      <c r="G43" s="24"/>
      <c r="H43" s="22"/>
      <c r="I43" s="20" t="s">
        <v>56</v>
      </c>
      <c r="J43" s="22"/>
      <c r="K43" s="21">
        <v>45996</v>
      </c>
      <c r="L43" s="22">
        <v>1</v>
      </c>
      <c r="M43" s="21">
        <v>46022</v>
      </c>
      <c r="N43" s="16">
        <v>1</v>
      </c>
      <c r="O43" s="21"/>
      <c r="P43" s="20"/>
    </row>
    <row r="44" spans="1:16" x14ac:dyDescent="0.35">
      <c r="A44" s="16"/>
      <c r="B44" s="23"/>
      <c r="C44" s="18"/>
      <c r="D44" s="19"/>
      <c r="E44" s="20"/>
      <c r="F44" s="22"/>
      <c r="G44" s="24"/>
      <c r="H44" s="22"/>
      <c r="I44" s="20" t="s">
        <v>57</v>
      </c>
      <c r="J44" s="22"/>
      <c r="K44" s="21"/>
      <c r="L44" s="22"/>
      <c r="M44" s="21"/>
      <c r="N44" s="16"/>
      <c r="O44" s="21"/>
      <c r="P44" s="20"/>
    </row>
    <row r="45" spans="1:16" ht="16" thickBot="1" x14ac:dyDescent="0.4">
      <c r="A45" s="50"/>
      <c r="B45" s="51"/>
      <c r="C45" s="52"/>
      <c r="D45" s="53"/>
      <c r="E45" s="54"/>
      <c r="F45" s="55"/>
      <c r="G45" s="55"/>
      <c r="H45" s="55"/>
      <c r="I45" s="20" t="s">
        <v>58</v>
      </c>
      <c r="J45" s="55"/>
      <c r="K45" s="46"/>
      <c r="L45" s="55"/>
      <c r="M45" s="46"/>
      <c r="N45" s="50"/>
      <c r="O45" s="46"/>
      <c r="P45" s="54"/>
    </row>
    <row r="46" spans="1:16" ht="16" thickBot="1" x14ac:dyDescent="0.4">
      <c r="A46" s="25"/>
      <c r="B46" s="26"/>
      <c r="C46" s="25"/>
      <c r="D46" s="27"/>
      <c r="E46" s="28"/>
      <c r="F46" s="29">
        <f>SUM(F34:F45)</f>
        <v>44</v>
      </c>
      <c r="G46" s="30"/>
      <c r="H46" s="29">
        <f>SUM(H34:H45)</f>
        <v>20</v>
      </c>
      <c r="I46" s="29"/>
      <c r="J46" s="29">
        <f>SUM(J34:J45)</f>
        <v>15</v>
      </c>
      <c r="K46" s="31"/>
      <c r="L46" s="29">
        <f>SUM(L34:L45)</f>
        <v>10</v>
      </c>
      <c r="M46" s="48"/>
      <c r="N46" s="29">
        <f>SUM(N34:N45)</f>
        <v>10</v>
      </c>
      <c r="O46" s="48"/>
      <c r="P46" s="29">
        <f>SUM(P34:P45)</f>
        <v>0</v>
      </c>
    </row>
    <row r="47" spans="1:16" ht="16" thickBot="1" x14ac:dyDescent="0.4">
      <c r="A47" s="26"/>
      <c r="B47" s="89" t="s">
        <v>15</v>
      </c>
      <c r="C47" s="89"/>
      <c r="D47" s="89"/>
      <c r="E47" s="89"/>
      <c r="F47" s="89"/>
      <c r="G47" s="90"/>
      <c r="H47" s="32">
        <f>SUM(F46-H46)</f>
        <v>24</v>
      </c>
      <c r="I47" s="32"/>
      <c r="J47" s="32"/>
      <c r="K47" s="33"/>
      <c r="L47" s="34">
        <f>SUM(10-L46)</f>
        <v>0</v>
      </c>
      <c r="M47" s="31"/>
      <c r="N47" s="34">
        <f>SUM(10-N46)</f>
        <v>0</v>
      </c>
      <c r="O47" s="31"/>
      <c r="P47" s="34"/>
    </row>
    <row r="48" spans="1:16" x14ac:dyDescent="0.35">
      <c r="A48" s="35"/>
      <c r="B48" s="35"/>
      <c r="C48" s="35"/>
      <c r="D48" s="36"/>
      <c r="E48" s="37"/>
      <c r="F48" s="38"/>
      <c r="G48" s="39"/>
      <c r="H48" s="39"/>
      <c r="I48" s="39"/>
      <c r="J48" s="39"/>
      <c r="K48" s="40"/>
      <c r="L48" s="41"/>
      <c r="M48" s="49"/>
      <c r="N48" s="39"/>
      <c r="O48" s="49"/>
      <c r="P48" s="39"/>
    </row>
    <row r="49" spans="1:16" ht="16" thickBot="1" x14ac:dyDescent="0.4">
      <c r="D49" s="42"/>
    </row>
    <row r="50" spans="1:16" x14ac:dyDescent="0.35">
      <c r="A50" s="8">
        <v>4</v>
      </c>
      <c r="B50" s="9" t="s">
        <v>26</v>
      </c>
      <c r="C50" s="10">
        <v>43087</v>
      </c>
      <c r="D50" s="11" t="s">
        <v>27</v>
      </c>
      <c r="E50" s="12">
        <v>2024</v>
      </c>
      <c r="F50" s="15">
        <v>14</v>
      </c>
      <c r="G50" s="13" t="s">
        <v>28</v>
      </c>
      <c r="H50" s="15">
        <v>3</v>
      </c>
      <c r="I50" s="15" t="s">
        <v>59</v>
      </c>
      <c r="J50" s="15"/>
      <c r="K50" s="14">
        <v>45798</v>
      </c>
      <c r="L50" s="15">
        <v>1</v>
      </c>
      <c r="M50" s="44">
        <v>45741</v>
      </c>
      <c r="N50" s="15">
        <v>1</v>
      </c>
      <c r="O50" s="14"/>
      <c r="P50" s="15"/>
    </row>
    <row r="51" spans="1:16" x14ac:dyDescent="0.35">
      <c r="A51" s="16"/>
      <c r="B51" s="23"/>
      <c r="C51" s="18"/>
      <c r="D51" s="19"/>
      <c r="E51" s="20">
        <v>2025</v>
      </c>
      <c r="F51" s="22">
        <v>21</v>
      </c>
      <c r="G51" s="45" t="s">
        <v>29</v>
      </c>
      <c r="H51" s="22">
        <v>3</v>
      </c>
      <c r="I51" s="22" t="s">
        <v>62</v>
      </c>
      <c r="J51" s="22"/>
      <c r="K51" s="21">
        <v>45827</v>
      </c>
      <c r="L51" s="22">
        <v>1</v>
      </c>
      <c r="M51" s="21">
        <v>45742</v>
      </c>
      <c r="N51" s="22">
        <v>1</v>
      </c>
      <c r="O51" s="21"/>
      <c r="P51" s="22"/>
    </row>
    <row r="52" spans="1:16" x14ac:dyDescent="0.35">
      <c r="A52" s="16"/>
      <c r="B52" s="23"/>
      <c r="C52" s="18"/>
      <c r="D52" s="19"/>
      <c r="E52" s="20"/>
      <c r="F52" s="22"/>
      <c r="G52" s="45" t="s">
        <v>30</v>
      </c>
      <c r="H52" s="22">
        <v>3.5</v>
      </c>
      <c r="I52" s="22" t="s">
        <v>68</v>
      </c>
      <c r="J52" s="22"/>
      <c r="K52" s="21">
        <v>45828</v>
      </c>
      <c r="L52" s="22">
        <v>1</v>
      </c>
      <c r="M52" s="21">
        <v>45771</v>
      </c>
      <c r="N52" s="22">
        <v>1</v>
      </c>
      <c r="O52" s="21"/>
      <c r="P52" s="22"/>
    </row>
    <row r="53" spans="1:16" x14ac:dyDescent="0.35">
      <c r="A53" s="16"/>
      <c r="B53" s="23"/>
      <c r="C53" s="18"/>
      <c r="D53" s="19"/>
      <c r="E53" s="20"/>
      <c r="F53" s="22"/>
      <c r="G53" s="21">
        <v>45961</v>
      </c>
      <c r="H53" s="22">
        <v>0.5</v>
      </c>
      <c r="I53" s="22" t="s">
        <v>63</v>
      </c>
      <c r="J53" s="22"/>
      <c r="K53" s="21">
        <v>45854</v>
      </c>
      <c r="L53" s="22">
        <v>1</v>
      </c>
      <c r="M53" s="21">
        <v>45772</v>
      </c>
      <c r="N53" s="22">
        <v>1</v>
      </c>
      <c r="O53" s="21"/>
      <c r="P53" s="22"/>
    </row>
    <row r="54" spans="1:16" x14ac:dyDescent="0.35">
      <c r="A54" s="16"/>
      <c r="B54" s="23"/>
      <c r="C54" s="18"/>
      <c r="D54" s="19"/>
      <c r="E54" s="20"/>
      <c r="F54" s="22"/>
      <c r="G54" s="45" t="s">
        <v>44</v>
      </c>
      <c r="H54" s="22">
        <v>3</v>
      </c>
      <c r="I54" s="22" t="s">
        <v>69</v>
      </c>
      <c r="J54" s="22"/>
      <c r="K54" s="21">
        <v>45874</v>
      </c>
      <c r="L54" s="22">
        <v>1</v>
      </c>
      <c r="M54" s="21">
        <v>45912</v>
      </c>
      <c r="N54" s="16">
        <v>1</v>
      </c>
      <c r="O54" s="21"/>
      <c r="P54" s="22"/>
    </row>
    <row r="55" spans="1:16" x14ac:dyDescent="0.35">
      <c r="A55" s="16"/>
      <c r="B55" s="23"/>
      <c r="C55" s="18"/>
      <c r="D55" s="19"/>
      <c r="E55" s="20"/>
      <c r="F55" s="22"/>
      <c r="G55" s="24"/>
      <c r="H55" s="22"/>
      <c r="I55" s="22" t="s">
        <v>64</v>
      </c>
      <c r="J55" s="22">
        <v>3</v>
      </c>
      <c r="K55" s="21">
        <v>45930</v>
      </c>
      <c r="L55" s="22">
        <v>0.5</v>
      </c>
      <c r="M55" s="21">
        <v>45946</v>
      </c>
      <c r="N55" s="22">
        <v>0.5</v>
      </c>
      <c r="O55" s="21"/>
      <c r="P55" s="22"/>
    </row>
    <row r="56" spans="1:16" x14ac:dyDescent="0.35">
      <c r="A56" s="16"/>
      <c r="B56" s="23"/>
      <c r="C56" s="18"/>
      <c r="D56" s="19"/>
      <c r="E56" s="20"/>
      <c r="F56" s="22"/>
      <c r="G56" s="24"/>
      <c r="H56" s="22"/>
      <c r="I56" s="22" t="s">
        <v>65</v>
      </c>
      <c r="J56" s="22">
        <v>4</v>
      </c>
      <c r="K56" s="21">
        <v>45931</v>
      </c>
      <c r="L56" s="22">
        <v>0.5</v>
      </c>
      <c r="M56" s="21">
        <v>45950</v>
      </c>
      <c r="N56" s="22">
        <v>0.5</v>
      </c>
      <c r="O56" s="21"/>
      <c r="P56" s="22"/>
    </row>
    <row r="57" spans="1:16" x14ac:dyDescent="0.35">
      <c r="A57" s="16"/>
      <c r="B57" s="23"/>
      <c r="C57" s="18"/>
      <c r="D57" s="19"/>
      <c r="E57" s="20"/>
      <c r="F57" s="22"/>
      <c r="G57" s="22"/>
      <c r="H57" s="22"/>
      <c r="I57" s="22" t="s">
        <v>66</v>
      </c>
      <c r="J57" s="22">
        <v>3</v>
      </c>
      <c r="K57" s="21">
        <v>45938</v>
      </c>
      <c r="L57" s="22">
        <v>0.5</v>
      </c>
      <c r="M57" s="21">
        <v>45988</v>
      </c>
      <c r="N57" s="22">
        <v>1</v>
      </c>
      <c r="O57" s="21"/>
      <c r="P57" s="22"/>
    </row>
    <row r="58" spans="1:16" ht="16" thickBot="1" x14ac:dyDescent="0.4">
      <c r="A58" s="16"/>
      <c r="B58" s="23"/>
      <c r="C58" s="18"/>
      <c r="D58" s="19"/>
      <c r="E58" s="20"/>
      <c r="F58" s="22"/>
      <c r="G58" s="22"/>
      <c r="H58" s="22"/>
      <c r="I58" s="55" t="s">
        <v>67</v>
      </c>
      <c r="J58" s="22"/>
      <c r="K58" s="21">
        <v>45979</v>
      </c>
      <c r="L58" s="22">
        <v>1</v>
      </c>
      <c r="M58" s="21">
        <v>45989</v>
      </c>
      <c r="N58" s="22">
        <v>1</v>
      </c>
      <c r="O58" s="21"/>
      <c r="P58" s="22"/>
    </row>
    <row r="59" spans="1:16" x14ac:dyDescent="0.35">
      <c r="A59" s="16"/>
      <c r="B59" s="23"/>
      <c r="C59" s="18"/>
      <c r="D59" s="19"/>
      <c r="E59" s="20"/>
      <c r="F59" s="22"/>
      <c r="G59" s="22"/>
      <c r="H59" s="22"/>
      <c r="I59" s="20" t="s">
        <v>56</v>
      </c>
      <c r="J59" s="22"/>
      <c r="K59" s="21">
        <v>45981</v>
      </c>
      <c r="L59" s="22">
        <v>0.5</v>
      </c>
      <c r="M59" s="21">
        <v>45999</v>
      </c>
      <c r="N59" s="22">
        <v>1</v>
      </c>
      <c r="O59" s="21"/>
      <c r="P59" s="22"/>
    </row>
    <row r="60" spans="1:16" x14ac:dyDescent="0.35">
      <c r="A60" s="16"/>
      <c r="B60" s="23"/>
      <c r="C60" s="18"/>
      <c r="D60" s="19"/>
      <c r="E60" s="20"/>
      <c r="F60" s="22"/>
      <c r="G60" s="22"/>
      <c r="H60" s="22"/>
      <c r="I60" s="20" t="s">
        <v>57</v>
      </c>
      <c r="J60" s="22"/>
      <c r="K60" s="21">
        <v>46010</v>
      </c>
      <c r="L60" s="22">
        <v>1</v>
      </c>
      <c r="M60" s="21">
        <v>46000</v>
      </c>
      <c r="N60" s="22">
        <v>1</v>
      </c>
      <c r="O60" s="21"/>
      <c r="P60" s="22"/>
    </row>
    <row r="61" spans="1:16" ht="16" thickBot="1" x14ac:dyDescent="0.4">
      <c r="A61" s="16"/>
      <c r="B61" s="23"/>
      <c r="C61" s="18"/>
      <c r="D61" s="19"/>
      <c r="E61" s="20"/>
      <c r="F61" s="22"/>
      <c r="G61" s="22"/>
      <c r="H61" s="22"/>
      <c r="I61" s="20" t="s">
        <v>58</v>
      </c>
      <c r="J61" s="22"/>
      <c r="K61" s="21">
        <v>46015</v>
      </c>
      <c r="L61" s="22">
        <v>1</v>
      </c>
      <c r="M61" s="21"/>
      <c r="N61" s="22"/>
      <c r="O61" s="21"/>
      <c r="P61" s="22"/>
    </row>
    <row r="62" spans="1:16" ht="16" thickBot="1" x14ac:dyDescent="0.4">
      <c r="A62" s="25"/>
      <c r="B62" s="26"/>
      <c r="C62" s="25"/>
      <c r="D62" s="27"/>
      <c r="E62" s="28"/>
      <c r="F62" s="29">
        <f>SUM(F50:F61)</f>
        <v>35</v>
      </c>
      <c r="G62" s="30"/>
      <c r="H62" s="29">
        <f>SUM(H50:H61)</f>
        <v>13</v>
      </c>
      <c r="I62" s="29"/>
      <c r="J62" s="29">
        <f>SUM(J50:J61)</f>
        <v>10</v>
      </c>
      <c r="K62" s="31"/>
      <c r="L62" s="29">
        <f>SUM(L50:L61)</f>
        <v>10</v>
      </c>
      <c r="M62" s="48"/>
      <c r="N62" s="29">
        <f>SUM(N50:N61)</f>
        <v>10</v>
      </c>
      <c r="O62" s="48"/>
      <c r="P62" s="29">
        <f>SUM(P50:P61)</f>
        <v>0</v>
      </c>
    </row>
    <row r="63" spans="1:16" ht="16" thickBot="1" x14ac:dyDescent="0.4">
      <c r="A63" s="26"/>
      <c r="B63" s="89" t="s">
        <v>15</v>
      </c>
      <c r="C63" s="89"/>
      <c r="D63" s="89"/>
      <c r="E63" s="89"/>
      <c r="F63" s="89"/>
      <c r="G63" s="90"/>
      <c r="H63" s="32">
        <f>SUM(F62-H62)</f>
        <v>22</v>
      </c>
      <c r="I63" s="32"/>
      <c r="J63" s="32"/>
      <c r="K63" s="33"/>
      <c r="L63" s="34">
        <f>SUM(10-L62)</f>
        <v>0</v>
      </c>
      <c r="M63" s="31"/>
      <c r="N63" s="34">
        <f>SUM(10-N62)</f>
        <v>0</v>
      </c>
      <c r="O63" s="31"/>
      <c r="P63" s="34"/>
    </row>
    <row r="64" spans="1:16" x14ac:dyDescent="0.35">
      <c r="A64" s="35"/>
      <c r="B64" s="36"/>
      <c r="C64" s="36"/>
      <c r="D64" s="36"/>
      <c r="E64" s="36"/>
      <c r="F64" s="36"/>
      <c r="G64" s="36"/>
      <c r="H64" s="39"/>
      <c r="I64" s="39"/>
      <c r="J64" s="39"/>
      <c r="K64" s="40"/>
      <c r="L64" s="41"/>
      <c r="M64" s="49"/>
      <c r="N64" s="41"/>
      <c r="O64" s="49"/>
      <c r="P64" s="41"/>
    </row>
    <row r="65" spans="1:16" ht="16" thickBot="1" x14ac:dyDescent="0.4">
      <c r="A65" s="35"/>
      <c r="B65" s="36"/>
      <c r="C65" s="36"/>
      <c r="D65" s="36"/>
      <c r="E65" s="36"/>
      <c r="F65" s="36"/>
      <c r="G65" s="36"/>
      <c r="H65" s="39"/>
      <c r="I65" s="39"/>
      <c r="J65" s="39"/>
      <c r="K65" s="40"/>
      <c r="L65" s="41"/>
      <c r="M65" s="49"/>
      <c r="N65" s="41"/>
      <c r="O65" s="49"/>
      <c r="P65" s="41"/>
    </row>
    <row r="66" spans="1:16" x14ac:dyDescent="0.35">
      <c r="A66" s="8">
        <v>5</v>
      </c>
      <c r="B66" s="9" t="s">
        <v>31</v>
      </c>
      <c r="C66" s="10">
        <v>45663</v>
      </c>
      <c r="D66" s="11" t="s">
        <v>32</v>
      </c>
      <c r="E66" s="12">
        <v>2025</v>
      </c>
      <c r="F66" s="15">
        <v>21</v>
      </c>
      <c r="G66" s="13" t="s">
        <v>33</v>
      </c>
      <c r="H66" s="15">
        <v>6</v>
      </c>
      <c r="I66" s="15" t="s">
        <v>59</v>
      </c>
      <c r="J66" s="15"/>
      <c r="K66" s="14">
        <v>45891</v>
      </c>
      <c r="L66" s="15">
        <v>0.5</v>
      </c>
      <c r="M66" s="44">
        <v>45860</v>
      </c>
      <c r="N66" s="15">
        <v>1</v>
      </c>
      <c r="O66" s="14"/>
      <c r="P66" s="15"/>
    </row>
    <row r="67" spans="1:16" x14ac:dyDescent="0.35">
      <c r="A67" s="16"/>
      <c r="B67" s="23"/>
      <c r="C67" s="18"/>
      <c r="D67" s="19"/>
      <c r="E67" s="20"/>
      <c r="F67" s="22"/>
      <c r="G67" s="45"/>
      <c r="H67" s="22"/>
      <c r="I67" s="22" t="s">
        <v>62</v>
      </c>
      <c r="J67" s="22"/>
      <c r="K67" s="21">
        <v>45909</v>
      </c>
      <c r="L67" s="22">
        <v>0.5</v>
      </c>
      <c r="M67" s="21">
        <v>45918</v>
      </c>
      <c r="N67" s="22">
        <v>1</v>
      </c>
      <c r="O67" s="21"/>
      <c r="P67" s="22"/>
    </row>
    <row r="68" spans="1:16" x14ac:dyDescent="0.35">
      <c r="A68" s="16"/>
      <c r="B68" s="23"/>
      <c r="C68" s="18"/>
      <c r="D68" s="19"/>
      <c r="E68" s="20"/>
      <c r="F68" s="22"/>
      <c r="G68" s="45"/>
      <c r="H68" s="22"/>
      <c r="I68" s="22" t="s">
        <v>68</v>
      </c>
      <c r="J68" s="22"/>
      <c r="K68" s="21">
        <v>45910</v>
      </c>
      <c r="L68" s="22">
        <v>1</v>
      </c>
      <c r="M68" s="21">
        <v>45953</v>
      </c>
      <c r="N68" s="22">
        <v>1</v>
      </c>
      <c r="O68" s="21"/>
      <c r="P68" s="22"/>
    </row>
    <row r="69" spans="1:16" x14ac:dyDescent="0.35">
      <c r="A69" s="16"/>
      <c r="B69" s="23"/>
      <c r="C69" s="18"/>
      <c r="D69" s="19"/>
      <c r="E69" s="20"/>
      <c r="F69" s="22"/>
      <c r="G69" s="45"/>
      <c r="H69" s="22"/>
      <c r="I69" s="22" t="s">
        <v>63</v>
      </c>
      <c r="J69" s="22"/>
      <c r="K69" s="21">
        <v>45973</v>
      </c>
      <c r="L69" s="22">
        <v>1</v>
      </c>
      <c r="M69" s="21">
        <v>45954</v>
      </c>
      <c r="N69" s="22">
        <v>1</v>
      </c>
      <c r="O69" s="21"/>
      <c r="P69" s="22"/>
    </row>
    <row r="70" spans="1:16" x14ac:dyDescent="0.35">
      <c r="A70" s="16"/>
      <c r="B70" s="23"/>
      <c r="C70" s="18"/>
      <c r="D70" s="19"/>
      <c r="E70" s="20"/>
      <c r="F70" s="22"/>
      <c r="G70" s="45"/>
      <c r="H70" s="22"/>
      <c r="I70" s="22" t="s">
        <v>69</v>
      </c>
      <c r="J70" s="22">
        <v>2</v>
      </c>
      <c r="K70" s="21">
        <v>45974</v>
      </c>
      <c r="L70" s="22">
        <v>1</v>
      </c>
      <c r="M70" s="21">
        <v>46002</v>
      </c>
      <c r="N70" s="22">
        <v>1</v>
      </c>
      <c r="O70" s="21"/>
      <c r="P70" s="22"/>
    </row>
    <row r="71" spans="1:16" x14ac:dyDescent="0.35">
      <c r="A71" s="16"/>
      <c r="B71" s="23"/>
      <c r="C71" s="18"/>
      <c r="D71" s="19"/>
      <c r="E71" s="20"/>
      <c r="F71" s="22"/>
      <c r="G71" s="24"/>
      <c r="H71" s="22"/>
      <c r="I71" s="22" t="s">
        <v>64</v>
      </c>
      <c r="J71" s="22">
        <v>4</v>
      </c>
      <c r="K71" s="21"/>
      <c r="L71" s="22"/>
      <c r="M71" s="21"/>
      <c r="N71" s="22"/>
      <c r="O71" s="21"/>
      <c r="P71" s="22"/>
    </row>
    <row r="72" spans="1:16" x14ac:dyDescent="0.35">
      <c r="A72" s="16"/>
      <c r="B72" s="23"/>
      <c r="C72" s="18"/>
      <c r="D72" s="19"/>
      <c r="E72" s="20"/>
      <c r="F72" s="22"/>
      <c r="G72" s="24"/>
      <c r="H72" s="22"/>
      <c r="I72" s="22" t="s">
        <v>65</v>
      </c>
      <c r="J72" s="22"/>
      <c r="K72" s="21"/>
      <c r="L72" s="22"/>
      <c r="M72" s="21"/>
      <c r="N72" s="22"/>
      <c r="O72" s="21"/>
      <c r="P72" s="22"/>
    </row>
    <row r="73" spans="1:16" x14ac:dyDescent="0.35">
      <c r="A73" s="16"/>
      <c r="B73" s="23"/>
      <c r="C73" s="18"/>
      <c r="D73" s="19"/>
      <c r="E73" s="20"/>
      <c r="F73" s="22"/>
      <c r="G73" s="22"/>
      <c r="H73" s="22"/>
      <c r="I73" s="22" t="s">
        <v>66</v>
      </c>
      <c r="J73" s="22"/>
      <c r="K73" s="21"/>
      <c r="L73" s="22"/>
      <c r="M73" s="21"/>
      <c r="N73" s="22"/>
      <c r="O73" s="21"/>
      <c r="P73" s="22"/>
    </row>
    <row r="74" spans="1:16" ht="16" thickBot="1" x14ac:dyDescent="0.4">
      <c r="A74" s="16"/>
      <c r="B74" s="23"/>
      <c r="C74" s="18"/>
      <c r="D74" s="19"/>
      <c r="E74" s="20"/>
      <c r="F74" s="22"/>
      <c r="G74" s="22"/>
      <c r="H74" s="22"/>
      <c r="I74" s="55" t="s">
        <v>67</v>
      </c>
      <c r="J74" s="22"/>
      <c r="K74" s="21"/>
      <c r="L74" s="22"/>
      <c r="M74" s="21"/>
      <c r="N74" s="22"/>
      <c r="O74" s="21"/>
      <c r="P74" s="22"/>
    </row>
    <row r="75" spans="1:16" x14ac:dyDescent="0.35">
      <c r="A75" s="16"/>
      <c r="B75" s="23"/>
      <c r="C75" s="18"/>
      <c r="D75" s="19"/>
      <c r="E75" s="20"/>
      <c r="F75" s="22"/>
      <c r="G75" s="22"/>
      <c r="H75" s="22"/>
      <c r="I75" s="20" t="s">
        <v>56</v>
      </c>
      <c r="J75" s="22"/>
      <c r="K75" s="21"/>
      <c r="L75" s="22"/>
      <c r="M75" s="21"/>
      <c r="N75" s="22"/>
      <c r="O75" s="21"/>
      <c r="P75" s="22"/>
    </row>
    <row r="76" spans="1:16" x14ac:dyDescent="0.35">
      <c r="A76" s="16"/>
      <c r="B76" s="23"/>
      <c r="C76" s="18"/>
      <c r="D76" s="19"/>
      <c r="E76" s="20"/>
      <c r="F76" s="22"/>
      <c r="G76" s="22"/>
      <c r="H76" s="22"/>
      <c r="I76" s="20" t="s">
        <v>57</v>
      </c>
      <c r="J76" s="22"/>
      <c r="K76" s="21"/>
      <c r="L76" s="22"/>
      <c r="M76" s="21"/>
      <c r="N76" s="22"/>
      <c r="O76" s="21"/>
      <c r="P76" s="22"/>
    </row>
    <row r="77" spans="1:16" ht="16" thickBot="1" x14ac:dyDescent="0.4">
      <c r="A77" s="16"/>
      <c r="B77" s="23"/>
      <c r="C77" s="18"/>
      <c r="D77" s="19"/>
      <c r="E77" s="20"/>
      <c r="F77" s="22"/>
      <c r="G77" s="22"/>
      <c r="H77" s="22"/>
      <c r="I77" s="20" t="s">
        <v>58</v>
      </c>
      <c r="J77" s="22"/>
      <c r="K77" s="21"/>
      <c r="L77" s="22"/>
      <c r="M77" s="21"/>
      <c r="N77" s="22"/>
      <c r="O77" s="21"/>
      <c r="P77" s="22"/>
    </row>
    <row r="78" spans="1:16" ht="16" thickBot="1" x14ac:dyDescent="0.4">
      <c r="A78" s="25"/>
      <c r="B78" s="26"/>
      <c r="C78" s="25"/>
      <c r="D78" s="27"/>
      <c r="E78" s="28"/>
      <c r="F78" s="29">
        <f>SUM(F66:F77)</f>
        <v>21</v>
      </c>
      <c r="G78" s="30"/>
      <c r="H78" s="29">
        <f>SUM(H66:H77)</f>
        <v>6</v>
      </c>
      <c r="I78" s="29"/>
      <c r="J78" s="29">
        <f>SUM(J66:J77)</f>
        <v>6</v>
      </c>
      <c r="K78" s="31"/>
      <c r="L78" s="29">
        <f>SUM(L66:L77)</f>
        <v>4</v>
      </c>
      <c r="M78" s="48"/>
      <c r="N78" s="29">
        <f>SUM(N66:N77)</f>
        <v>5</v>
      </c>
      <c r="O78" s="48"/>
      <c r="P78" s="29">
        <f>SUM(P66:P77)</f>
        <v>0</v>
      </c>
    </row>
    <row r="79" spans="1:16" ht="16" thickBot="1" x14ac:dyDescent="0.4">
      <c r="A79" s="26"/>
      <c r="B79" s="89" t="s">
        <v>15</v>
      </c>
      <c r="C79" s="89"/>
      <c r="D79" s="89"/>
      <c r="E79" s="89"/>
      <c r="F79" s="89"/>
      <c r="G79" s="90"/>
      <c r="H79" s="32">
        <f>SUM(F78-H78)</f>
        <v>15</v>
      </c>
      <c r="I79" s="32"/>
      <c r="J79" s="32"/>
      <c r="K79" s="33"/>
      <c r="L79" s="34">
        <f>SUM(5-L78)</f>
        <v>1</v>
      </c>
      <c r="M79" s="31"/>
      <c r="N79" s="34">
        <f>SUM(5-N78)</f>
        <v>0</v>
      </c>
      <c r="O79" s="31"/>
      <c r="P79" s="34"/>
    </row>
    <row r="80" spans="1:16" x14ac:dyDescent="0.35">
      <c r="A80" s="35"/>
      <c r="B80" s="36"/>
      <c r="C80" s="36"/>
      <c r="D80" s="36"/>
      <c r="E80" s="36"/>
      <c r="F80" s="36"/>
      <c r="G80" s="36"/>
      <c r="H80" s="39"/>
      <c r="I80" s="39"/>
      <c r="J80" s="39"/>
      <c r="K80" s="40"/>
      <c r="L80" s="41"/>
      <c r="M80" s="49"/>
      <c r="N80" s="41"/>
      <c r="O80" s="49"/>
      <c r="P80" s="41"/>
    </row>
    <row r="81" spans="1:17" x14ac:dyDescent="0.35">
      <c r="A81" s="35"/>
      <c r="B81" s="36"/>
      <c r="C81" s="36"/>
      <c r="D81" s="36"/>
      <c r="E81" s="36"/>
      <c r="F81" s="36"/>
      <c r="G81" s="36"/>
      <c r="H81" s="39"/>
      <c r="I81" s="39"/>
      <c r="J81" s="39"/>
      <c r="K81" s="40"/>
      <c r="L81" s="41"/>
      <c r="M81" s="49"/>
      <c r="N81" s="41"/>
      <c r="O81" s="49"/>
      <c r="P81" s="41"/>
    </row>
    <row r="82" spans="1:17" x14ac:dyDescent="0.35">
      <c r="A82" s="35"/>
      <c r="B82" s="36"/>
      <c r="C82" s="36"/>
      <c r="D82" s="36"/>
      <c r="E82" s="36"/>
      <c r="F82" s="36"/>
      <c r="G82" s="36"/>
      <c r="H82" s="39"/>
      <c r="I82" s="39"/>
      <c r="J82" s="39"/>
      <c r="K82" s="40"/>
      <c r="L82" s="41"/>
      <c r="M82" s="49"/>
      <c r="N82" s="41"/>
      <c r="O82" s="49"/>
      <c r="P82" s="41"/>
    </row>
    <row r="83" spans="1:17" hidden="1" x14ac:dyDescent="0.35">
      <c r="A83" s="35"/>
      <c r="B83" s="36"/>
      <c r="C83" s="36"/>
      <c r="D83" s="36"/>
      <c r="E83" s="36"/>
      <c r="F83" s="36"/>
      <c r="G83" s="36"/>
      <c r="H83" s="39"/>
      <c r="I83" s="39"/>
      <c r="J83" s="39"/>
      <c r="K83" s="40"/>
      <c r="L83" s="41"/>
      <c r="M83" s="49"/>
      <c r="N83" s="41"/>
      <c r="O83" s="49"/>
      <c r="P83" s="41"/>
    </row>
    <row r="84" spans="1:17" ht="31.5" hidden="1" thickBot="1" x14ac:dyDescent="0.4">
      <c r="A84" s="1" t="s">
        <v>0</v>
      </c>
      <c r="B84" s="2" t="s">
        <v>1</v>
      </c>
      <c r="C84" s="2" t="s">
        <v>2</v>
      </c>
      <c r="D84" s="3" t="s">
        <v>3</v>
      </c>
      <c r="E84" s="4" t="s">
        <v>4</v>
      </c>
      <c r="F84" s="5" t="s">
        <v>5</v>
      </c>
      <c r="G84" s="4" t="s">
        <v>6</v>
      </c>
      <c r="H84" s="5" t="s">
        <v>0</v>
      </c>
      <c r="I84" s="5"/>
      <c r="J84" s="5"/>
      <c r="K84" s="6" t="s">
        <v>7</v>
      </c>
      <c r="L84" s="5" t="s">
        <v>0</v>
      </c>
      <c r="M84" s="6" t="s">
        <v>8</v>
      </c>
      <c r="N84" s="2" t="s">
        <v>0</v>
      </c>
      <c r="O84" s="4" t="s">
        <v>9</v>
      </c>
      <c r="P84" s="4" t="s">
        <v>0</v>
      </c>
    </row>
    <row r="85" spans="1:17" hidden="1" x14ac:dyDescent="0.35">
      <c r="A85" s="56">
        <v>6</v>
      </c>
      <c r="B85" s="57" t="s">
        <v>34</v>
      </c>
      <c r="C85" s="58">
        <v>38596</v>
      </c>
      <c r="D85" s="59" t="s">
        <v>35</v>
      </c>
      <c r="E85" s="60">
        <v>2024</v>
      </c>
      <c r="F85" s="60">
        <v>21</v>
      </c>
      <c r="G85" s="13" t="s">
        <v>36</v>
      </c>
      <c r="H85" s="60">
        <v>11</v>
      </c>
      <c r="I85" s="60"/>
      <c r="J85" s="60"/>
      <c r="K85" s="61">
        <v>45691</v>
      </c>
      <c r="L85" s="60">
        <v>0.5</v>
      </c>
      <c r="M85" s="61">
        <v>45712</v>
      </c>
      <c r="N85" s="72">
        <v>1</v>
      </c>
      <c r="O85" s="21">
        <v>45684</v>
      </c>
      <c r="P85" s="22">
        <v>1</v>
      </c>
      <c r="Q85" s="69" t="s">
        <v>37</v>
      </c>
    </row>
    <row r="86" spans="1:17" hidden="1" x14ac:dyDescent="0.35">
      <c r="A86" s="62"/>
      <c r="B86" s="63"/>
      <c r="C86" s="64"/>
      <c r="D86" s="65"/>
      <c r="E86" s="20">
        <v>2025</v>
      </c>
      <c r="F86" s="22">
        <v>21</v>
      </c>
      <c r="G86" s="45" t="s">
        <v>48</v>
      </c>
      <c r="H86" s="66">
        <v>5</v>
      </c>
      <c r="I86" s="66"/>
      <c r="J86" s="66"/>
      <c r="K86" s="67">
        <v>45700</v>
      </c>
      <c r="L86" s="66">
        <v>0.5</v>
      </c>
      <c r="M86" s="67">
        <v>45834</v>
      </c>
      <c r="N86" s="73">
        <v>1</v>
      </c>
      <c r="O86" s="21">
        <v>45763</v>
      </c>
      <c r="P86" s="22">
        <v>1</v>
      </c>
      <c r="Q86" s="69" t="s">
        <v>38</v>
      </c>
    </row>
    <row r="87" spans="1:17" hidden="1" x14ac:dyDescent="0.35">
      <c r="A87" s="62"/>
      <c r="B87" s="63"/>
      <c r="C87" s="64"/>
      <c r="D87" s="65"/>
      <c r="E87" s="66"/>
      <c r="F87" s="66"/>
      <c r="G87" s="66" t="s">
        <v>49</v>
      </c>
      <c r="H87" s="66">
        <v>2</v>
      </c>
      <c r="I87" s="66"/>
      <c r="J87" s="66"/>
      <c r="K87" s="67">
        <v>45729</v>
      </c>
      <c r="L87" s="66">
        <v>1</v>
      </c>
      <c r="M87" s="67">
        <v>45835</v>
      </c>
      <c r="N87" s="73">
        <v>1</v>
      </c>
      <c r="O87" s="75">
        <v>45764</v>
      </c>
      <c r="P87" s="71">
        <v>1</v>
      </c>
      <c r="Q87" s="69" t="s">
        <v>39</v>
      </c>
    </row>
    <row r="88" spans="1:17" hidden="1" x14ac:dyDescent="0.35">
      <c r="A88" s="62"/>
      <c r="B88" s="63"/>
      <c r="C88" s="64"/>
      <c r="D88" s="65"/>
      <c r="E88" s="66"/>
      <c r="F88" s="66"/>
      <c r="G88" s="67"/>
      <c r="H88" s="66"/>
      <c r="I88" s="66"/>
      <c r="J88" s="66"/>
      <c r="K88" s="67">
        <v>45758</v>
      </c>
      <c r="L88" s="66">
        <v>1</v>
      </c>
      <c r="M88" s="67">
        <v>45869</v>
      </c>
      <c r="N88" s="73">
        <v>1</v>
      </c>
      <c r="O88" s="75">
        <v>45897</v>
      </c>
      <c r="P88" s="71">
        <v>1</v>
      </c>
      <c r="Q88" s="69" t="s">
        <v>40</v>
      </c>
    </row>
    <row r="89" spans="1:17" hidden="1" x14ac:dyDescent="0.35">
      <c r="A89" s="62"/>
      <c r="B89" s="63"/>
      <c r="C89" s="64"/>
      <c r="D89" s="65"/>
      <c r="E89" s="66"/>
      <c r="F89" s="66"/>
      <c r="G89" s="66"/>
      <c r="H89" s="66"/>
      <c r="I89" s="66"/>
      <c r="J89" s="66"/>
      <c r="K89" s="67">
        <v>45762</v>
      </c>
      <c r="L89" s="66">
        <v>1</v>
      </c>
      <c r="M89" s="67">
        <v>45953</v>
      </c>
      <c r="N89" s="73">
        <v>1</v>
      </c>
      <c r="O89" s="75">
        <v>45898</v>
      </c>
      <c r="P89" s="71">
        <v>1</v>
      </c>
      <c r="Q89" s="69" t="s">
        <v>41</v>
      </c>
    </row>
    <row r="90" spans="1:17" hidden="1" x14ac:dyDescent="0.35">
      <c r="A90" s="62"/>
      <c r="B90" s="63"/>
      <c r="C90" s="64"/>
      <c r="D90" s="65"/>
      <c r="E90" s="66"/>
      <c r="F90" s="66"/>
      <c r="G90" s="66"/>
      <c r="H90" s="66"/>
      <c r="I90" s="66"/>
      <c r="J90" s="66"/>
      <c r="K90" s="67">
        <v>45875</v>
      </c>
      <c r="L90" s="66">
        <v>0.5</v>
      </c>
      <c r="M90" s="67">
        <v>45961</v>
      </c>
      <c r="N90" s="73">
        <v>1</v>
      </c>
      <c r="O90" s="75"/>
      <c r="P90" s="71"/>
    </row>
    <row r="91" spans="1:17" hidden="1" x14ac:dyDescent="0.35">
      <c r="A91" s="62"/>
      <c r="B91" s="63"/>
      <c r="C91" s="64"/>
      <c r="D91" s="65"/>
      <c r="E91" s="66"/>
      <c r="F91" s="66"/>
      <c r="G91" s="66"/>
      <c r="H91" s="66"/>
      <c r="I91" s="66"/>
      <c r="J91" s="66"/>
      <c r="K91" s="67">
        <v>45881</v>
      </c>
      <c r="L91" s="66">
        <v>1</v>
      </c>
      <c r="M91" s="67">
        <v>45971</v>
      </c>
      <c r="N91" s="73">
        <v>1</v>
      </c>
      <c r="O91" s="75"/>
      <c r="P91" s="71"/>
    </row>
    <row r="92" spans="1:17" hidden="1" x14ac:dyDescent="0.35">
      <c r="A92" s="62"/>
      <c r="B92" s="63"/>
      <c r="C92" s="64"/>
      <c r="D92" s="65"/>
      <c r="E92" s="66"/>
      <c r="F92" s="66"/>
      <c r="G92" s="66"/>
      <c r="H92" s="66"/>
      <c r="I92" s="66"/>
      <c r="J92" s="66"/>
      <c r="K92" s="67">
        <v>45944</v>
      </c>
      <c r="L92" s="66">
        <v>0.5</v>
      </c>
      <c r="M92" s="67">
        <v>45975</v>
      </c>
      <c r="N92" s="73">
        <v>1</v>
      </c>
      <c r="O92" s="75"/>
      <c r="P92" s="71"/>
    </row>
    <row r="93" spans="1:17" hidden="1" x14ac:dyDescent="0.35">
      <c r="A93" s="62"/>
      <c r="B93" s="63"/>
      <c r="C93" s="64"/>
      <c r="D93" s="65"/>
      <c r="E93" s="66"/>
      <c r="F93" s="66"/>
      <c r="G93" s="66"/>
      <c r="H93" s="66"/>
      <c r="I93" s="66"/>
      <c r="J93" s="66"/>
      <c r="K93" s="67">
        <v>45947</v>
      </c>
      <c r="L93" s="66">
        <v>0.5</v>
      </c>
      <c r="M93" s="67">
        <v>45999</v>
      </c>
      <c r="N93" s="73">
        <v>1</v>
      </c>
      <c r="O93" s="75"/>
      <c r="P93" s="71"/>
    </row>
    <row r="94" spans="1:17" hidden="1" x14ac:dyDescent="0.35">
      <c r="A94" s="62"/>
      <c r="B94" s="63"/>
      <c r="C94" s="64"/>
      <c r="D94" s="65"/>
      <c r="E94" s="66"/>
      <c r="F94" s="66"/>
      <c r="G94" s="66"/>
      <c r="H94" s="66"/>
      <c r="I94" s="66"/>
      <c r="J94" s="66"/>
      <c r="K94" s="67">
        <v>45982</v>
      </c>
      <c r="L94" s="66">
        <v>1</v>
      </c>
      <c r="M94" s="67">
        <v>46000</v>
      </c>
      <c r="N94" s="73">
        <v>1</v>
      </c>
      <c r="O94" s="75"/>
      <c r="P94" s="71"/>
    </row>
    <row r="95" spans="1:17" hidden="1" x14ac:dyDescent="0.35">
      <c r="A95" s="62"/>
      <c r="B95" s="63"/>
      <c r="C95" s="64"/>
      <c r="D95" s="65"/>
      <c r="E95" s="66"/>
      <c r="F95" s="66"/>
      <c r="G95" s="66"/>
      <c r="H95" s="66"/>
      <c r="I95" s="66"/>
      <c r="J95" s="66"/>
      <c r="K95" s="67">
        <v>45995</v>
      </c>
      <c r="L95" s="66">
        <v>0.5</v>
      </c>
      <c r="M95" s="67"/>
      <c r="N95" s="73"/>
      <c r="O95" s="71"/>
      <c r="P95" s="71"/>
    </row>
    <row r="96" spans="1:17" hidden="1" x14ac:dyDescent="0.35">
      <c r="A96" s="62"/>
      <c r="B96" s="63"/>
      <c r="C96" s="64"/>
      <c r="D96" s="65"/>
      <c r="E96" s="66"/>
      <c r="F96" s="66"/>
      <c r="G96" s="66"/>
      <c r="H96" s="66"/>
      <c r="I96" s="66"/>
      <c r="J96" s="66"/>
      <c r="K96" s="67">
        <v>46002</v>
      </c>
      <c r="L96" s="66">
        <v>1</v>
      </c>
      <c r="M96" s="67"/>
      <c r="N96" s="73"/>
      <c r="O96" s="71"/>
      <c r="P96" s="71"/>
    </row>
    <row r="97" spans="1:16" hidden="1" x14ac:dyDescent="0.35">
      <c r="A97" s="62"/>
      <c r="B97" s="63"/>
      <c r="C97" s="64"/>
      <c r="D97" s="65"/>
      <c r="E97" s="66"/>
      <c r="F97" s="66"/>
      <c r="G97" s="66"/>
      <c r="H97" s="66"/>
      <c r="I97" s="66"/>
      <c r="J97" s="66"/>
      <c r="K97" s="67"/>
      <c r="L97" s="66"/>
      <c r="M97" s="67"/>
      <c r="N97" s="73"/>
      <c r="O97" s="71"/>
      <c r="P97" s="71"/>
    </row>
    <row r="98" spans="1:16" ht="16" hidden="1" thickBot="1" x14ac:dyDescent="0.4">
      <c r="A98" s="25"/>
      <c r="B98" s="26"/>
      <c r="C98" s="25"/>
      <c r="D98" s="27"/>
      <c r="E98" s="28"/>
      <c r="F98" s="29">
        <f>SUM(F85:F94)</f>
        <v>42</v>
      </c>
      <c r="G98" s="30"/>
      <c r="H98" s="29">
        <f>SUM(H85:H94)</f>
        <v>18</v>
      </c>
      <c r="I98" s="29"/>
      <c r="J98" s="29"/>
      <c r="K98" s="31"/>
      <c r="L98" s="29">
        <f>SUM(L85:L96)</f>
        <v>9</v>
      </c>
      <c r="M98" s="48"/>
      <c r="N98" s="74">
        <f>SUM(N85:N94)</f>
        <v>10</v>
      </c>
      <c r="O98" s="48"/>
      <c r="P98" s="29">
        <f>SUM(P85:P94)</f>
        <v>5</v>
      </c>
    </row>
    <row r="99" spans="1:16" ht="16" hidden="1" thickBot="1" x14ac:dyDescent="0.4">
      <c r="A99" s="26"/>
      <c r="B99" s="89" t="s">
        <v>15</v>
      </c>
      <c r="C99" s="89"/>
      <c r="D99" s="89"/>
      <c r="E99" s="89"/>
      <c r="F99" s="89"/>
      <c r="G99" s="90"/>
      <c r="H99" s="32">
        <f>SUM(F98-H98)</f>
        <v>24</v>
      </c>
      <c r="I99" s="32"/>
      <c r="J99" s="32"/>
      <c r="K99" s="33"/>
      <c r="L99" s="34">
        <f>SUM(10-L98)</f>
        <v>1</v>
      </c>
      <c r="M99" s="31"/>
      <c r="N99" s="34">
        <f>SUM(10-N98)</f>
        <v>0</v>
      </c>
      <c r="O99" s="70"/>
      <c r="P99" s="32"/>
    </row>
    <row r="100" spans="1:16" hidden="1" x14ac:dyDescent="0.35">
      <c r="A100" s="35"/>
      <c r="B100" s="36"/>
      <c r="C100" s="36"/>
      <c r="D100" s="36"/>
      <c r="E100" s="36"/>
      <c r="F100" s="36"/>
      <c r="G100" s="36"/>
      <c r="H100" s="39"/>
      <c r="I100" s="39"/>
      <c r="J100" s="39"/>
      <c r="K100" s="40"/>
      <c r="L100" s="41"/>
      <c r="M100" s="49"/>
      <c r="N100" s="41"/>
      <c r="O100" s="49"/>
      <c r="P100" s="41"/>
    </row>
    <row r="101" spans="1:16" hidden="1" x14ac:dyDescent="0.35">
      <c r="A101" s="35"/>
      <c r="B101" s="36"/>
      <c r="C101" s="36"/>
      <c r="D101" s="36"/>
      <c r="E101" s="36"/>
      <c r="F101" s="36"/>
      <c r="G101" s="36"/>
      <c r="H101" s="39"/>
      <c r="I101" s="39"/>
      <c r="J101" s="39"/>
      <c r="K101" s="40"/>
      <c r="L101" s="41"/>
      <c r="M101" s="49"/>
      <c r="N101" s="41"/>
      <c r="O101" s="49"/>
      <c r="P101" s="41"/>
    </row>
    <row r="102" spans="1:16" hidden="1" x14ac:dyDescent="0.35">
      <c r="A102" s="35"/>
      <c r="B102" s="36"/>
      <c r="C102" s="36"/>
      <c r="D102" s="36"/>
      <c r="E102" s="36"/>
      <c r="F102" s="36"/>
      <c r="G102" s="36"/>
      <c r="H102" s="39"/>
      <c r="I102" s="39"/>
      <c r="J102" s="39"/>
      <c r="K102" s="40"/>
      <c r="L102" s="41"/>
      <c r="M102" s="49"/>
      <c r="N102" s="41"/>
      <c r="O102" s="49"/>
      <c r="P102" s="41"/>
    </row>
    <row r="103" spans="1:16" hidden="1" x14ac:dyDescent="0.35">
      <c r="A103" s="35"/>
      <c r="B103" s="36"/>
      <c r="C103" s="36"/>
      <c r="D103" s="36"/>
      <c r="E103" s="36"/>
      <c r="F103" s="36"/>
      <c r="G103" s="36"/>
      <c r="H103" s="39"/>
      <c r="I103" s="39"/>
      <c r="J103" s="39"/>
      <c r="K103" s="40"/>
      <c r="L103" s="41"/>
      <c r="M103" s="49"/>
      <c r="N103" s="41"/>
      <c r="O103" s="49"/>
      <c r="P103" s="41"/>
    </row>
    <row r="104" spans="1:16" hidden="1" x14ac:dyDescent="0.35">
      <c r="A104" s="35"/>
      <c r="B104" s="36"/>
      <c r="C104" s="36"/>
      <c r="D104" s="36"/>
      <c r="E104" s="36"/>
      <c r="F104" s="36"/>
      <c r="G104" s="36"/>
      <c r="H104" s="39"/>
      <c r="I104" s="39"/>
      <c r="J104" s="39"/>
      <c r="K104" s="40"/>
      <c r="L104" s="41"/>
      <c r="M104" s="49"/>
      <c r="N104" s="41"/>
      <c r="O104" s="49"/>
      <c r="P104" s="41"/>
    </row>
    <row r="105" spans="1:16" x14ac:dyDescent="0.35">
      <c r="A105" s="35"/>
      <c r="B105" s="35"/>
      <c r="C105" s="35"/>
      <c r="D105" s="36"/>
      <c r="E105" s="37"/>
      <c r="F105" s="38"/>
      <c r="G105" s="39"/>
      <c r="H105" s="39"/>
      <c r="I105" s="39"/>
      <c r="J105" s="39"/>
      <c r="K105" s="40"/>
      <c r="L105" s="41"/>
      <c r="M105" s="49"/>
      <c r="N105" s="39"/>
      <c r="O105" s="49"/>
      <c r="P105" s="39"/>
    </row>
  </sheetData>
  <sheetProtection algorithmName="SHA-512" hashValue="6WgcS4YS/fm77EAA2fitTvzR2umQk+7vNUdWyFj4egMHg1jfehqKH4suOm/I0XO0HDParTXYQhcrwhdOQObhGA==" saltValue="lThYn+oMBdNpODmtHwSRCw==" spinCount="100000" sheet="1" objects="1" scenarios="1"/>
  <mergeCells count="6">
    <mergeCell ref="B99:G99"/>
    <mergeCell ref="B63:G63"/>
    <mergeCell ref="B47:G47"/>
    <mergeCell ref="B31:G31"/>
    <mergeCell ref="B15:G15"/>
    <mergeCell ref="B79:G79"/>
  </mergeCells>
  <pageMargins left="0.7" right="0.7" top="0.75" bottom="0.75" header="0.3" footer="0.3"/>
  <pageSetup paperSize="9" scale="5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20678-DD32-41DD-8145-20880048A0B7}">
  <dimension ref="A1:J21"/>
  <sheetViews>
    <sheetView showGridLines="0" tabSelected="1" zoomScale="76" workbookViewId="0">
      <selection activeCell="D10" sqref="D10"/>
    </sheetView>
  </sheetViews>
  <sheetFormatPr defaultRowHeight="14" x14ac:dyDescent="0.3"/>
  <cols>
    <col min="2" max="2" width="22.5" bestFit="1" customWidth="1"/>
    <col min="3" max="3" width="24.9140625" customWidth="1"/>
    <col min="4" max="8" width="18.9140625" customWidth="1"/>
  </cols>
  <sheetData>
    <row r="1" spans="1:9" ht="15" x14ac:dyDescent="0.3">
      <c r="A1" s="76"/>
      <c r="D1" s="77"/>
      <c r="E1" s="77"/>
      <c r="F1" s="77"/>
      <c r="G1" s="77"/>
      <c r="H1" s="77"/>
    </row>
    <row r="2" spans="1:9" ht="15" x14ac:dyDescent="0.3">
      <c r="A2" s="78"/>
      <c r="B2" s="79" t="s">
        <v>50</v>
      </c>
      <c r="C2" s="79" t="s">
        <v>51</v>
      </c>
      <c r="D2" s="77"/>
      <c r="E2" s="77"/>
      <c r="F2" s="77"/>
      <c r="G2" s="77"/>
      <c r="H2" s="77"/>
    </row>
    <row r="3" spans="1:9" ht="15" x14ac:dyDescent="0.3">
      <c r="A3" s="78"/>
      <c r="D3" s="77"/>
      <c r="E3" s="77"/>
      <c r="F3" s="77"/>
      <c r="G3" s="77"/>
      <c r="H3" s="77"/>
    </row>
    <row r="4" spans="1:9" ht="15" x14ac:dyDescent="0.3">
      <c r="A4" s="78"/>
      <c r="B4" s="91" t="s">
        <v>52</v>
      </c>
      <c r="C4" s="91"/>
      <c r="D4" s="92"/>
      <c r="E4" s="92"/>
      <c r="F4" s="92"/>
      <c r="G4" s="92"/>
      <c r="H4" s="92"/>
    </row>
    <row r="5" spans="1:9" ht="15.5" thickBot="1" x14ac:dyDescent="0.35">
      <c r="A5" s="78"/>
      <c r="B5" s="92"/>
      <c r="C5" s="92"/>
      <c r="D5" s="92"/>
      <c r="E5" s="92"/>
      <c r="F5" s="92"/>
      <c r="G5" s="92"/>
      <c r="H5" s="92"/>
    </row>
    <row r="6" spans="1:9" ht="30" customHeight="1" x14ac:dyDescent="0.3">
      <c r="A6" s="78"/>
      <c r="B6" s="93" t="s">
        <v>3</v>
      </c>
      <c r="C6" s="93" t="s">
        <v>53</v>
      </c>
      <c r="D6" s="96" t="s">
        <v>70</v>
      </c>
      <c r="E6" s="96" t="s">
        <v>71</v>
      </c>
      <c r="F6" s="96" t="s">
        <v>72</v>
      </c>
      <c r="G6" s="96" t="s">
        <v>73</v>
      </c>
      <c r="H6" s="96" t="s">
        <v>74</v>
      </c>
    </row>
    <row r="7" spans="1:9" ht="15" x14ac:dyDescent="0.3">
      <c r="A7" s="78"/>
      <c r="B7" s="94"/>
      <c r="C7" s="94"/>
      <c r="D7" s="97"/>
      <c r="E7" s="97"/>
      <c r="F7" s="97"/>
      <c r="G7" s="97"/>
      <c r="H7" s="97"/>
    </row>
    <row r="8" spans="1:9" ht="15.5" thickBot="1" x14ac:dyDescent="0.35">
      <c r="A8" s="78"/>
      <c r="B8" s="95"/>
      <c r="C8" s="95"/>
      <c r="D8" s="98"/>
      <c r="E8" s="98"/>
      <c r="F8" s="98"/>
      <c r="G8" s="98"/>
      <c r="H8" s="98"/>
    </row>
    <row r="9" spans="1:9" ht="15" x14ac:dyDescent="0.3">
      <c r="A9" s="82"/>
      <c r="B9" s="83"/>
      <c r="C9" s="83"/>
      <c r="D9" s="84"/>
      <c r="E9" s="84"/>
      <c r="F9" s="84"/>
      <c r="G9" s="84"/>
      <c r="H9" s="82"/>
      <c r="I9" s="85"/>
    </row>
    <row r="10" spans="1:9" ht="15" x14ac:dyDescent="0.3">
      <c r="A10" s="78"/>
      <c r="B10" s="80" t="s">
        <v>35</v>
      </c>
      <c r="C10" s="80" t="s">
        <v>34</v>
      </c>
      <c r="D10" s="81">
        <v>21</v>
      </c>
      <c r="E10" s="81">
        <v>21</v>
      </c>
      <c r="F10" s="81">
        <f>D10+E10</f>
        <v>42</v>
      </c>
      <c r="G10" s="81">
        <v>16</v>
      </c>
      <c r="H10" s="86">
        <f>F10-G10</f>
        <v>26</v>
      </c>
    </row>
    <row r="11" spans="1:9" ht="15" x14ac:dyDescent="0.3">
      <c r="A11" s="82"/>
      <c r="B11" s="83"/>
      <c r="C11" s="83"/>
      <c r="D11" s="84"/>
      <c r="E11" s="84"/>
      <c r="F11" s="84"/>
      <c r="G11" s="84"/>
      <c r="H11" s="82"/>
      <c r="I11" s="85"/>
    </row>
    <row r="12" spans="1:9" ht="15" x14ac:dyDescent="0.3">
      <c r="A12" s="78"/>
      <c r="B12" s="80" t="s">
        <v>11</v>
      </c>
      <c r="C12" s="80" t="s">
        <v>54</v>
      </c>
      <c r="D12" s="81">
        <v>16</v>
      </c>
      <c r="E12" s="81">
        <v>21</v>
      </c>
      <c r="F12" s="81">
        <f>D12+E12</f>
        <v>37</v>
      </c>
      <c r="G12" s="81">
        <f>' Leave Record - IT'!J14</f>
        <v>21</v>
      </c>
      <c r="H12" s="86">
        <f>F12-G12</f>
        <v>16</v>
      </c>
    </row>
    <row r="13" spans="1:9" ht="15" x14ac:dyDescent="0.3">
      <c r="A13" s="82"/>
      <c r="B13" s="83"/>
      <c r="C13" s="83"/>
      <c r="D13" s="84"/>
      <c r="E13" s="84"/>
      <c r="F13" s="84"/>
      <c r="G13" s="84"/>
      <c r="H13" s="82"/>
      <c r="I13" s="85"/>
    </row>
    <row r="14" spans="1:9" ht="15" x14ac:dyDescent="0.3">
      <c r="A14" s="78"/>
      <c r="B14" s="80" t="s">
        <v>17</v>
      </c>
      <c r="C14" s="80" t="s">
        <v>55</v>
      </c>
      <c r="D14" s="81">
        <v>20</v>
      </c>
      <c r="E14" s="81">
        <v>21</v>
      </c>
      <c r="F14" s="81">
        <f>D14+E14</f>
        <v>41</v>
      </c>
      <c r="G14" s="81">
        <f>' Leave Record - IT'!J30</f>
        <v>17</v>
      </c>
      <c r="H14" s="86">
        <f>F14-G14</f>
        <v>24</v>
      </c>
    </row>
    <row r="15" spans="1:9" ht="15" x14ac:dyDescent="0.3">
      <c r="A15" s="82"/>
      <c r="B15" s="83"/>
      <c r="C15" s="83"/>
      <c r="D15" s="84"/>
      <c r="E15" s="84"/>
      <c r="F15" s="84"/>
      <c r="G15" s="84"/>
      <c r="H15" s="82"/>
      <c r="I15" s="85"/>
    </row>
    <row r="16" spans="1:9" ht="15" x14ac:dyDescent="0.3">
      <c r="A16" s="78"/>
      <c r="B16" s="80" t="s">
        <v>22</v>
      </c>
      <c r="C16" s="80" t="s">
        <v>21</v>
      </c>
      <c r="D16" s="81">
        <v>22</v>
      </c>
      <c r="E16" s="81">
        <v>21</v>
      </c>
      <c r="F16" s="81">
        <f>D16+E16</f>
        <v>43</v>
      </c>
      <c r="G16" s="81">
        <f>' Leave Record - IT'!J46</f>
        <v>15</v>
      </c>
      <c r="H16" s="86">
        <f>F16-G16</f>
        <v>28</v>
      </c>
    </row>
    <row r="17" spans="1:10" ht="15" x14ac:dyDescent="0.3">
      <c r="A17" s="82"/>
      <c r="B17" s="83"/>
      <c r="C17" s="83"/>
      <c r="D17" s="84"/>
      <c r="E17" s="84"/>
      <c r="F17" s="84"/>
      <c r="G17" s="84"/>
      <c r="H17" s="82"/>
      <c r="I17" s="85"/>
    </row>
    <row r="18" spans="1:10" ht="15" x14ac:dyDescent="0.3">
      <c r="A18" s="76"/>
      <c r="B18" s="80" t="s">
        <v>27</v>
      </c>
      <c r="C18" s="80" t="s">
        <v>26</v>
      </c>
      <c r="D18" s="81">
        <v>9</v>
      </c>
      <c r="E18" s="81">
        <v>21</v>
      </c>
      <c r="F18" s="81">
        <f>D18+E18</f>
        <v>30</v>
      </c>
      <c r="G18" s="81">
        <f>' Leave Record - IT'!J62</f>
        <v>10</v>
      </c>
      <c r="H18" s="86">
        <f>F18-G18</f>
        <v>20</v>
      </c>
    </row>
    <row r="19" spans="1:10" ht="15" x14ac:dyDescent="0.3">
      <c r="A19" s="87"/>
      <c r="B19" s="85"/>
      <c r="C19" s="85"/>
      <c r="D19" s="88"/>
      <c r="E19" s="88"/>
      <c r="F19" s="88"/>
      <c r="G19" s="88"/>
      <c r="H19" s="88"/>
      <c r="I19" s="85"/>
    </row>
    <row r="20" spans="1:10" ht="15" x14ac:dyDescent="0.3">
      <c r="A20" s="76"/>
      <c r="B20" s="80" t="s">
        <v>32</v>
      </c>
      <c r="C20" s="80" t="s">
        <v>31</v>
      </c>
      <c r="D20" s="81">
        <v>0</v>
      </c>
      <c r="E20" s="81">
        <v>5</v>
      </c>
      <c r="F20" s="81">
        <f>D20+E20</f>
        <v>5</v>
      </c>
      <c r="G20" s="81">
        <f>' Leave Record - IT'!J78</f>
        <v>6</v>
      </c>
      <c r="H20" s="86">
        <f>F20-G20</f>
        <v>-1</v>
      </c>
    </row>
    <row r="21" spans="1:10" ht="15" x14ac:dyDescent="0.3">
      <c r="A21" s="87"/>
      <c r="B21" s="85"/>
      <c r="C21" s="85"/>
      <c r="D21" s="88"/>
      <c r="E21" s="88"/>
      <c r="F21" s="88"/>
      <c r="G21" s="88"/>
      <c r="H21" s="88"/>
      <c r="I21" s="85"/>
      <c r="J21" s="85"/>
    </row>
  </sheetData>
  <sheetProtection algorithmName="SHA-512" hashValue="LoDCDzEp+F9bFoJF30N5r0ncHP2as6Saw0Jpxnlr+41Sq1y4Li1sxWsSL6jcUev9bVYspKjOOH6dZehHEaR9fw==" saltValue="n5ny1Stx1If2iG47uN8blQ==" spinCount="100000" sheet="1" objects="1" scenarios="1"/>
  <mergeCells count="8">
    <mergeCell ref="B4:H5"/>
    <mergeCell ref="B6:B8"/>
    <mergeCell ref="C6:C8"/>
    <mergeCell ref="D6:D8"/>
    <mergeCell ref="E6:E8"/>
    <mergeCell ref="F6:F8"/>
    <mergeCell ref="G6:G8"/>
    <mergeCell ref="H6:H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53a949fd-956c-4cc3-9bd7-f8e05ea5afb0" xsi:nil="true"/>
    <lcf76f155ced4ddcb4097134ff3c332f xmlns="dfa94250-5652-43e0-9e37-e40705d2e59b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D6CD61623A42B47AE95344D8DF89B21" ma:contentTypeVersion="16" ma:contentTypeDescription="Create a new document." ma:contentTypeScope="" ma:versionID="63e9e866e2f8eae35d0369b3e5230d54">
  <xsd:schema xmlns:xsd="http://www.w3.org/2001/XMLSchema" xmlns:xs="http://www.w3.org/2001/XMLSchema" xmlns:p="http://schemas.microsoft.com/office/2006/metadata/properties" xmlns:ns1="http://schemas.microsoft.com/sharepoint/v3" xmlns:ns2="dfa94250-5652-43e0-9e37-e40705d2e59b" xmlns:ns3="53a949fd-956c-4cc3-9bd7-f8e05ea5afb0" targetNamespace="http://schemas.microsoft.com/office/2006/metadata/properties" ma:root="true" ma:fieldsID="34ce1945cd6c444acaeeeb1df108aa9b" ns1:_="" ns2:_="" ns3:_="">
    <xsd:import namespace="http://schemas.microsoft.com/sharepoint/v3"/>
    <xsd:import namespace="dfa94250-5652-43e0-9e37-e40705d2e59b"/>
    <xsd:import namespace="53a949fd-956c-4cc3-9bd7-f8e05ea5afb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a94250-5652-43e0-9e37-e40705d2e59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24f78910-a52f-407f-a602-4453637a61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a949fd-956c-4cc3-9bd7-f8e05ea5afb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c1aa3ae7-d435-49d1-a52f-15eca1a37ff9}" ma:internalName="TaxCatchAll" ma:showField="CatchAllData" ma:web="53a949fd-956c-4cc3-9bd7-f8e05ea5afb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7E84CFD-A4B7-437E-91A7-D979848D0F29}">
  <ds:schemaRefs>
    <ds:schemaRef ds:uri="http://purl.org/dc/dcmitype/"/>
    <ds:schemaRef ds:uri="http://purl.org/dc/terms/"/>
    <ds:schemaRef ds:uri="http://schemas.microsoft.com/office/2006/metadata/properties"/>
    <ds:schemaRef ds:uri="http://schemas.microsoft.com/sharepoint/v3"/>
    <ds:schemaRef ds:uri="http://purl.org/dc/elements/1.1/"/>
    <ds:schemaRef ds:uri="http://schemas.openxmlformats.org/package/2006/metadata/core-properties"/>
    <ds:schemaRef ds:uri="dfa94250-5652-43e0-9e37-e40705d2e59b"/>
    <ds:schemaRef ds:uri="http://schemas.microsoft.com/office/2006/documentManagement/types"/>
    <ds:schemaRef ds:uri="http://schemas.microsoft.com/office/infopath/2007/PartnerControls"/>
    <ds:schemaRef ds:uri="53a949fd-956c-4cc3-9bd7-f8e05ea5afb0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F1257059-D149-4A70-AAEE-1307F4246E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1BC8E53-EF56-445C-ACA0-5B4736474F0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dfa94250-5652-43e0-9e37-e40705d2e59b"/>
    <ds:schemaRef ds:uri="53a949fd-956c-4cc3-9bd7-f8e05ea5af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3d2aa9ea-10f0-4ba1-bce3-878d135aec49}" enabled="1" method="Standard" siteId="{f62aca8c-2ba2-417b-a0c1-ab3f1020ccc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 Leave Record - IT</vt:lpstr>
      <vt:lpstr>Leave Record_FY24-25</vt:lpstr>
    </vt:vector>
  </TitlesOfParts>
  <Manager/>
  <Company>Cathay Pacific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CPPRAK</dc:creator>
  <cp:keywords/>
  <dc:description/>
  <cp:lastModifiedBy>Rahul Goraksha</cp:lastModifiedBy>
  <cp:revision/>
  <dcterms:created xsi:type="dcterms:W3CDTF">2019-01-07T10:40:25Z</dcterms:created>
  <dcterms:modified xsi:type="dcterms:W3CDTF">2026-04-17T08:57:27Z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0x0101006D6CD61623A42B47AE95344D8DF89B21</vt:lpwstr>
  </property>
  <property fmtid="{D5CDD505-2E9C-101B-9397-08002B2CF9AE}" pid="3" name="MediaServiceImageTags">
    <vt:lpwstr/>
  </property>
</Properties>
</file>