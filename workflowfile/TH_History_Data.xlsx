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027rag\Desktop\TH_Hist\"/>
    </mc:Choice>
  </mc:AlternateContent>
  <xr:revisionPtr revIDLastSave="0" documentId="13_ncr:1_{8BB96494-C8BE-4C6B-9ABA-9AE1DB486FC1}" xr6:coauthVersionLast="47" xr6:coauthVersionMax="47" xr10:uidLastSave="{00000000-0000-0000-0000-000000000000}"/>
  <bookViews>
    <workbookView xWindow="-110" yWindow="-110" windowWidth="19420" windowHeight="11500" xr2:uid="{B1545598-F536-4ADF-9FF9-930BCF9E6D96}"/>
  </bookViews>
  <sheets>
    <sheet name="Sheet1" sheetId="1" r:id="rId1"/>
  </sheets>
  <definedNames>
    <definedName name="_xlnm._FilterDatabase" localSheetId="0" hidden="1">Sheet1!$A$1:$K$313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13" i="1" l="1"/>
  <c r="J313" i="1"/>
  <c r="H313" i="1"/>
  <c r="G313" i="1"/>
  <c r="K312" i="1"/>
  <c r="J312" i="1"/>
  <c r="H312" i="1"/>
  <c r="G312" i="1"/>
  <c r="K311" i="1"/>
  <c r="J311" i="1"/>
  <c r="H311" i="1"/>
  <c r="G311" i="1"/>
  <c r="K310" i="1"/>
  <c r="J310" i="1"/>
  <c r="H310" i="1"/>
  <c r="G310" i="1"/>
  <c r="K309" i="1"/>
  <c r="J309" i="1"/>
  <c r="H309" i="1"/>
  <c r="G309" i="1"/>
  <c r="K308" i="1"/>
  <c r="J308" i="1"/>
  <c r="H308" i="1"/>
  <c r="G308" i="1"/>
  <c r="K307" i="1"/>
  <c r="J307" i="1"/>
  <c r="H307" i="1"/>
  <c r="G307" i="1"/>
  <c r="K306" i="1"/>
  <c r="J306" i="1"/>
  <c r="H306" i="1"/>
  <c r="G306" i="1"/>
  <c r="K305" i="1"/>
  <c r="J305" i="1"/>
  <c r="H305" i="1"/>
  <c r="G305" i="1"/>
  <c r="K304" i="1"/>
  <c r="J304" i="1"/>
  <c r="H304" i="1"/>
  <c r="G304" i="1"/>
  <c r="K303" i="1"/>
  <c r="J303" i="1"/>
  <c r="H303" i="1"/>
  <c r="G303" i="1"/>
  <c r="K302" i="1"/>
  <c r="J302" i="1"/>
  <c r="H302" i="1"/>
  <c r="G302" i="1"/>
  <c r="K301" i="1"/>
  <c r="J301" i="1"/>
  <c r="H301" i="1"/>
  <c r="G301" i="1"/>
  <c r="K300" i="1"/>
  <c r="J300" i="1"/>
  <c r="H300" i="1"/>
  <c r="G300" i="1"/>
  <c r="K299" i="1"/>
  <c r="J299" i="1"/>
  <c r="H299" i="1"/>
  <c r="G299" i="1"/>
  <c r="K298" i="1"/>
  <c r="J298" i="1"/>
  <c r="H298" i="1"/>
  <c r="G298" i="1"/>
  <c r="K297" i="1"/>
  <c r="J297" i="1"/>
  <c r="H297" i="1"/>
  <c r="G297" i="1"/>
  <c r="K296" i="1"/>
  <c r="J296" i="1"/>
  <c r="H296" i="1"/>
  <c r="G296" i="1"/>
  <c r="K295" i="1"/>
  <c r="J295" i="1"/>
  <c r="H295" i="1"/>
  <c r="G295" i="1"/>
  <c r="K294" i="1"/>
  <c r="J294" i="1"/>
  <c r="H294" i="1"/>
  <c r="G294" i="1"/>
  <c r="K293" i="1"/>
  <c r="J293" i="1"/>
  <c r="H293" i="1"/>
  <c r="G293" i="1"/>
  <c r="K292" i="1"/>
  <c r="J292" i="1"/>
  <c r="H292" i="1"/>
  <c r="G292" i="1"/>
  <c r="K291" i="1"/>
  <c r="J291" i="1"/>
  <c r="H291" i="1"/>
  <c r="G291" i="1"/>
  <c r="K290" i="1"/>
  <c r="J290" i="1"/>
  <c r="H290" i="1"/>
  <c r="G290" i="1"/>
  <c r="K289" i="1"/>
  <c r="J289" i="1"/>
  <c r="H289" i="1"/>
  <c r="G289" i="1"/>
  <c r="K288" i="1"/>
  <c r="J288" i="1"/>
  <c r="H288" i="1"/>
  <c r="G288" i="1"/>
  <c r="K287" i="1"/>
  <c r="J287" i="1"/>
  <c r="H287" i="1"/>
  <c r="G287" i="1"/>
  <c r="K286" i="1"/>
  <c r="J286" i="1"/>
  <c r="H286" i="1"/>
  <c r="G286" i="1"/>
  <c r="K285" i="1"/>
  <c r="J285" i="1"/>
  <c r="H285" i="1"/>
  <c r="G285" i="1"/>
  <c r="K284" i="1"/>
  <c r="J284" i="1"/>
  <c r="H284" i="1"/>
  <c r="G284" i="1"/>
  <c r="K283" i="1"/>
  <c r="J283" i="1"/>
  <c r="H283" i="1"/>
  <c r="G283" i="1"/>
  <c r="K282" i="1"/>
  <c r="J282" i="1"/>
  <c r="H282" i="1"/>
  <c r="G282" i="1"/>
  <c r="K281" i="1"/>
  <c r="J281" i="1"/>
  <c r="H281" i="1"/>
  <c r="G281" i="1"/>
  <c r="K280" i="1"/>
  <c r="J280" i="1"/>
  <c r="H280" i="1"/>
  <c r="G280" i="1"/>
  <c r="K279" i="1"/>
  <c r="J279" i="1"/>
  <c r="H279" i="1"/>
  <c r="G279" i="1"/>
  <c r="K278" i="1"/>
  <c r="J278" i="1"/>
  <c r="H278" i="1"/>
  <c r="G278" i="1"/>
  <c r="K277" i="1"/>
  <c r="J277" i="1"/>
  <c r="H277" i="1"/>
  <c r="G277" i="1"/>
  <c r="K276" i="1"/>
  <c r="J276" i="1"/>
  <c r="H276" i="1"/>
  <c r="G276" i="1"/>
  <c r="K275" i="1"/>
  <c r="J275" i="1"/>
  <c r="H275" i="1"/>
  <c r="G275" i="1"/>
  <c r="K274" i="1"/>
  <c r="J274" i="1"/>
  <c r="H274" i="1"/>
  <c r="G274" i="1"/>
  <c r="K273" i="1"/>
  <c r="J273" i="1"/>
  <c r="H273" i="1"/>
  <c r="G273" i="1"/>
  <c r="K272" i="1"/>
  <c r="J272" i="1"/>
  <c r="H272" i="1"/>
  <c r="G272" i="1"/>
  <c r="K271" i="1"/>
  <c r="J271" i="1"/>
  <c r="H271" i="1"/>
  <c r="G271" i="1"/>
  <c r="K270" i="1"/>
  <c r="J270" i="1"/>
  <c r="H270" i="1"/>
  <c r="G270" i="1"/>
  <c r="K269" i="1"/>
  <c r="J269" i="1"/>
  <c r="H269" i="1"/>
  <c r="G269" i="1"/>
  <c r="K268" i="1"/>
  <c r="J268" i="1"/>
  <c r="H268" i="1"/>
  <c r="G268" i="1"/>
  <c r="K267" i="1"/>
  <c r="J267" i="1"/>
  <c r="H267" i="1"/>
  <c r="G267" i="1"/>
  <c r="K266" i="1"/>
  <c r="J266" i="1"/>
  <c r="H266" i="1"/>
  <c r="G266" i="1"/>
  <c r="K265" i="1"/>
  <c r="J265" i="1"/>
  <c r="H265" i="1"/>
  <c r="G265" i="1"/>
  <c r="K264" i="1"/>
  <c r="J264" i="1"/>
  <c r="H264" i="1"/>
  <c r="G264" i="1"/>
  <c r="K263" i="1"/>
  <c r="J263" i="1"/>
  <c r="H263" i="1"/>
  <c r="G263" i="1"/>
  <c r="K262" i="1"/>
  <c r="J262" i="1"/>
  <c r="H262" i="1"/>
  <c r="G262" i="1"/>
  <c r="K261" i="1"/>
  <c r="J261" i="1"/>
  <c r="H261" i="1"/>
  <c r="G261" i="1"/>
  <c r="K260" i="1"/>
  <c r="J260" i="1"/>
  <c r="H260" i="1"/>
  <c r="G260" i="1"/>
  <c r="K259" i="1"/>
  <c r="J259" i="1"/>
  <c r="H259" i="1"/>
  <c r="G259" i="1"/>
  <c r="K258" i="1"/>
  <c r="J258" i="1"/>
  <c r="H258" i="1"/>
  <c r="G258" i="1"/>
  <c r="K257" i="1"/>
  <c r="J257" i="1"/>
  <c r="H257" i="1"/>
  <c r="G257" i="1"/>
  <c r="K256" i="1"/>
  <c r="J256" i="1"/>
  <c r="H256" i="1"/>
  <c r="G256" i="1"/>
  <c r="K255" i="1"/>
  <c r="J255" i="1"/>
  <c r="H255" i="1"/>
  <c r="G255" i="1"/>
  <c r="K254" i="1"/>
  <c r="J254" i="1"/>
  <c r="H254" i="1"/>
  <c r="G254" i="1"/>
  <c r="K253" i="1"/>
  <c r="J253" i="1"/>
  <c r="H253" i="1"/>
  <c r="G253" i="1"/>
  <c r="K252" i="1"/>
  <c r="J252" i="1"/>
  <c r="H252" i="1"/>
  <c r="G252" i="1"/>
  <c r="K251" i="1"/>
  <c r="J251" i="1"/>
  <c r="H251" i="1"/>
  <c r="G251" i="1"/>
  <c r="K250" i="1"/>
  <c r="J250" i="1"/>
  <c r="H250" i="1"/>
  <c r="G250" i="1"/>
  <c r="K249" i="1"/>
  <c r="J249" i="1"/>
  <c r="H249" i="1"/>
  <c r="G249" i="1"/>
  <c r="K248" i="1"/>
  <c r="J248" i="1"/>
  <c r="H248" i="1"/>
  <c r="G248" i="1"/>
  <c r="K247" i="1"/>
  <c r="J247" i="1"/>
  <c r="H247" i="1"/>
  <c r="G247" i="1"/>
  <c r="K246" i="1"/>
  <c r="J246" i="1"/>
  <c r="H246" i="1"/>
  <c r="G246" i="1"/>
  <c r="K245" i="1"/>
  <c r="J245" i="1"/>
  <c r="H245" i="1"/>
  <c r="G245" i="1"/>
  <c r="K244" i="1"/>
  <c r="J244" i="1"/>
  <c r="H244" i="1"/>
  <c r="G244" i="1"/>
  <c r="K243" i="1"/>
  <c r="J243" i="1"/>
  <c r="H243" i="1"/>
  <c r="G243" i="1"/>
  <c r="K242" i="1"/>
  <c r="J242" i="1"/>
  <c r="H242" i="1"/>
  <c r="G242" i="1"/>
  <c r="K241" i="1"/>
  <c r="J241" i="1"/>
  <c r="H241" i="1"/>
  <c r="G241" i="1"/>
  <c r="K240" i="1"/>
  <c r="J240" i="1"/>
  <c r="H240" i="1"/>
  <c r="G240" i="1"/>
  <c r="K239" i="1"/>
  <c r="J239" i="1"/>
  <c r="H239" i="1"/>
  <c r="G239" i="1"/>
  <c r="K238" i="1"/>
  <c r="J238" i="1"/>
  <c r="H238" i="1"/>
  <c r="G238" i="1"/>
  <c r="K237" i="1"/>
  <c r="J237" i="1"/>
  <c r="H237" i="1"/>
  <c r="G237" i="1"/>
  <c r="K236" i="1"/>
  <c r="J236" i="1"/>
  <c r="H236" i="1"/>
  <c r="G236" i="1"/>
  <c r="K235" i="1"/>
  <c r="J235" i="1"/>
  <c r="H235" i="1"/>
  <c r="G235" i="1"/>
  <c r="K234" i="1"/>
  <c r="J234" i="1"/>
  <c r="H234" i="1"/>
  <c r="G234" i="1"/>
  <c r="K233" i="1"/>
  <c r="J233" i="1"/>
  <c r="H233" i="1"/>
  <c r="G233" i="1"/>
  <c r="K232" i="1"/>
  <c r="J232" i="1"/>
  <c r="H232" i="1"/>
  <c r="G232" i="1"/>
  <c r="K231" i="1"/>
  <c r="J231" i="1"/>
  <c r="H231" i="1"/>
  <c r="G231" i="1"/>
  <c r="K230" i="1"/>
  <c r="J230" i="1"/>
  <c r="H230" i="1"/>
  <c r="G230" i="1"/>
  <c r="K229" i="1"/>
  <c r="J229" i="1"/>
  <c r="H229" i="1"/>
  <c r="G229" i="1"/>
  <c r="K228" i="1"/>
  <c r="J228" i="1"/>
  <c r="H228" i="1"/>
  <c r="G228" i="1"/>
  <c r="K227" i="1"/>
  <c r="J227" i="1"/>
  <c r="H227" i="1"/>
  <c r="G227" i="1"/>
  <c r="K226" i="1"/>
  <c r="J226" i="1"/>
  <c r="H226" i="1"/>
  <c r="G226" i="1"/>
  <c r="K225" i="1"/>
  <c r="J225" i="1"/>
  <c r="H225" i="1"/>
  <c r="G225" i="1"/>
  <c r="K224" i="1"/>
  <c r="J224" i="1"/>
  <c r="H224" i="1"/>
  <c r="G224" i="1"/>
  <c r="K223" i="1"/>
  <c r="J223" i="1"/>
  <c r="H223" i="1"/>
  <c r="G223" i="1"/>
  <c r="K222" i="1"/>
  <c r="J222" i="1"/>
  <c r="H222" i="1"/>
  <c r="G222" i="1"/>
  <c r="K221" i="1"/>
  <c r="J221" i="1"/>
  <c r="H221" i="1"/>
  <c r="G221" i="1"/>
  <c r="K220" i="1"/>
  <c r="J220" i="1"/>
  <c r="H220" i="1"/>
  <c r="G220" i="1"/>
  <c r="K219" i="1"/>
  <c r="J219" i="1"/>
  <c r="H219" i="1"/>
  <c r="G219" i="1"/>
  <c r="K218" i="1"/>
  <c r="J218" i="1"/>
  <c r="H218" i="1"/>
  <c r="G218" i="1"/>
  <c r="K217" i="1"/>
  <c r="J217" i="1"/>
  <c r="H217" i="1"/>
  <c r="G217" i="1"/>
  <c r="K216" i="1"/>
  <c r="J216" i="1"/>
  <c r="H216" i="1"/>
  <c r="G216" i="1"/>
  <c r="K215" i="1"/>
  <c r="J215" i="1"/>
  <c r="H215" i="1"/>
  <c r="G215" i="1"/>
  <c r="K214" i="1"/>
  <c r="J214" i="1"/>
  <c r="H214" i="1"/>
  <c r="G214" i="1"/>
  <c r="K213" i="1"/>
  <c r="J213" i="1"/>
  <c r="H213" i="1"/>
  <c r="G213" i="1"/>
  <c r="K212" i="1"/>
  <c r="J212" i="1"/>
  <c r="H212" i="1"/>
  <c r="G212" i="1"/>
  <c r="K211" i="1"/>
  <c r="J211" i="1"/>
  <c r="H211" i="1"/>
  <c r="G211" i="1"/>
  <c r="K210" i="1"/>
  <c r="J210" i="1"/>
  <c r="H210" i="1"/>
  <c r="G210" i="1"/>
  <c r="K209" i="1"/>
  <c r="J209" i="1"/>
  <c r="H209" i="1"/>
  <c r="G209" i="1"/>
  <c r="K208" i="1"/>
  <c r="J208" i="1"/>
  <c r="H208" i="1"/>
  <c r="G208" i="1"/>
  <c r="K207" i="1"/>
  <c r="J207" i="1"/>
  <c r="H207" i="1"/>
  <c r="G207" i="1"/>
  <c r="K206" i="1"/>
  <c r="J206" i="1"/>
  <c r="H206" i="1"/>
  <c r="G206" i="1"/>
  <c r="K205" i="1"/>
  <c r="J205" i="1"/>
  <c r="H205" i="1"/>
  <c r="G205" i="1"/>
  <c r="K204" i="1"/>
  <c r="J204" i="1"/>
  <c r="H204" i="1"/>
  <c r="G204" i="1"/>
  <c r="K203" i="1"/>
  <c r="J203" i="1"/>
  <c r="H203" i="1"/>
  <c r="G203" i="1"/>
  <c r="K202" i="1"/>
  <c r="J202" i="1"/>
  <c r="H202" i="1"/>
  <c r="G202" i="1"/>
  <c r="K201" i="1"/>
  <c r="J201" i="1"/>
  <c r="H201" i="1"/>
  <c r="G201" i="1"/>
  <c r="K200" i="1"/>
  <c r="J200" i="1"/>
  <c r="H200" i="1"/>
  <c r="G200" i="1"/>
  <c r="K199" i="1"/>
  <c r="J199" i="1"/>
  <c r="H199" i="1"/>
  <c r="G199" i="1"/>
  <c r="K198" i="1"/>
  <c r="J198" i="1"/>
  <c r="H198" i="1"/>
  <c r="G198" i="1"/>
  <c r="K197" i="1"/>
  <c r="J197" i="1"/>
  <c r="H197" i="1"/>
  <c r="G197" i="1"/>
  <c r="K196" i="1"/>
  <c r="J196" i="1"/>
  <c r="H196" i="1"/>
  <c r="G196" i="1"/>
  <c r="K195" i="1"/>
  <c r="J195" i="1"/>
  <c r="H195" i="1"/>
  <c r="G195" i="1"/>
  <c r="K194" i="1"/>
  <c r="J194" i="1"/>
  <c r="H194" i="1"/>
  <c r="G194" i="1"/>
  <c r="K193" i="1"/>
  <c r="J193" i="1"/>
  <c r="H193" i="1"/>
  <c r="G193" i="1"/>
  <c r="K192" i="1"/>
  <c r="J192" i="1"/>
  <c r="H192" i="1"/>
  <c r="G192" i="1"/>
  <c r="K191" i="1"/>
  <c r="J191" i="1"/>
  <c r="H191" i="1"/>
  <c r="G191" i="1"/>
  <c r="K190" i="1"/>
  <c r="J190" i="1"/>
  <c r="H190" i="1"/>
  <c r="G190" i="1"/>
  <c r="K189" i="1"/>
  <c r="J189" i="1"/>
  <c r="H189" i="1"/>
  <c r="G189" i="1"/>
  <c r="K188" i="1"/>
  <c r="J188" i="1"/>
  <c r="H188" i="1"/>
  <c r="G188" i="1"/>
  <c r="K187" i="1"/>
  <c r="J187" i="1"/>
  <c r="H187" i="1"/>
  <c r="G187" i="1"/>
  <c r="K186" i="1"/>
  <c r="J186" i="1"/>
  <c r="H186" i="1"/>
  <c r="G186" i="1"/>
  <c r="K185" i="1"/>
  <c r="J185" i="1"/>
  <c r="H185" i="1"/>
  <c r="G185" i="1"/>
  <c r="K184" i="1"/>
  <c r="J184" i="1"/>
  <c r="H184" i="1"/>
  <c r="G184" i="1"/>
  <c r="K183" i="1"/>
  <c r="J183" i="1"/>
  <c r="H183" i="1"/>
  <c r="G183" i="1"/>
  <c r="K182" i="1"/>
  <c r="J182" i="1"/>
  <c r="H182" i="1"/>
  <c r="G182" i="1"/>
  <c r="K181" i="1"/>
  <c r="J181" i="1"/>
  <c r="H181" i="1"/>
  <c r="G181" i="1"/>
  <c r="K180" i="1"/>
  <c r="J180" i="1"/>
  <c r="H180" i="1"/>
  <c r="G180" i="1"/>
  <c r="K179" i="1"/>
  <c r="J179" i="1"/>
  <c r="H179" i="1"/>
  <c r="G179" i="1"/>
  <c r="K178" i="1"/>
  <c r="J178" i="1"/>
  <c r="H178" i="1"/>
  <c r="G178" i="1"/>
  <c r="K177" i="1"/>
  <c r="J177" i="1"/>
  <c r="H177" i="1"/>
  <c r="G177" i="1"/>
  <c r="K176" i="1"/>
  <c r="J176" i="1"/>
  <c r="H176" i="1"/>
  <c r="G176" i="1"/>
  <c r="K175" i="1"/>
  <c r="J175" i="1"/>
  <c r="H175" i="1"/>
  <c r="G175" i="1"/>
  <c r="K174" i="1"/>
  <c r="J174" i="1"/>
  <c r="H174" i="1"/>
  <c r="G174" i="1"/>
  <c r="K173" i="1"/>
  <c r="J173" i="1"/>
  <c r="H173" i="1"/>
  <c r="G173" i="1"/>
  <c r="K172" i="1"/>
  <c r="J172" i="1"/>
  <c r="H172" i="1"/>
  <c r="G172" i="1"/>
  <c r="K171" i="1"/>
  <c r="J171" i="1"/>
  <c r="H171" i="1"/>
  <c r="G171" i="1"/>
  <c r="K170" i="1"/>
  <c r="J170" i="1"/>
  <c r="H170" i="1"/>
  <c r="G170" i="1"/>
  <c r="K169" i="1"/>
  <c r="J169" i="1"/>
  <c r="H169" i="1"/>
  <c r="G169" i="1"/>
  <c r="K168" i="1"/>
  <c r="J168" i="1"/>
  <c r="H168" i="1"/>
  <c r="G168" i="1"/>
  <c r="K167" i="1"/>
  <c r="J167" i="1"/>
  <c r="H167" i="1"/>
  <c r="G167" i="1"/>
  <c r="K166" i="1"/>
  <c r="J166" i="1"/>
  <c r="H166" i="1"/>
  <c r="G166" i="1"/>
  <c r="K165" i="1"/>
  <c r="J165" i="1"/>
  <c r="H165" i="1"/>
  <c r="G165" i="1"/>
  <c r="K164" i="1"/>
  <c r="J164" i="1"/>
  <c r="H164" i="1"/>
  <c r="G164" i="1"/>
  <c r="K163" i="1"/>
  <c r="J163" i="1"/>
  <c r="H163" i="1"/>
  <c r="G163" i="1"/>
  <c r="K162" i="1"/>
  <c r="J162" i="1"/>
  <c r="H162" i="1"/>
  <c r="G162" i="1"/>
  <c r="K161" i="1"/>
  <c r="J161" i="1"/>
  <c r="H161" i="1"/>
  <c r="G161" i="1"/>
  <c r="K160" i="1"/>
  <c r="J160" i="1"/>
  <c r="H160" i="1"/>
  <c r="G160" i="1"/>
  <c r="K159" i="1"/>
  <c r="J159" i="1"/>
  <c r="H159" i="1"/>
  <c r="G159" i="1"/>
  <c r="K158" i="1"/>
  <c r="J158" i="1"/>
  <c r="H158" i="1"/>
  <c r="G158" i="1"/>
  <c r="K157" i="1"/>
  <c r="J157" i="1"/>
  <c r="H157" i="1"/>
  <c r="G157" i="1"/>
  <c r="K156" i="1"/>
  <c r="J156" i="1"/>
  <c r="H156" i="1"/>
  <c r="G156" i="1"/>
  <c r="K155" i="1"/>
  <c r="J155" i="1"/>
  <c r="H155" i="1"/>
  <c r="G155" i="1"/>
  <c r="K154" i="1"/>
  <c r="J154" i="1"/>
  <c r="H154" i="1"/>
  <c r="G154" i="1"/>
  <c r="K153" i="1"/>
  <c r="J153" i="1"/>
  <c r="H153" i="1"/>
  <c r="G153" i="1"/>
  <c r="K152" i="1"/>
  <c r="J152" i="1"/>
  <c r="H152" i="1"/>
  <c r="G152" i="1"/>
  <c r="K151" i="1"/>
  <c r="J151" i="1"/>
  <c r="H151" i="1"/>
  <c r="G151" i="1"/>
  <c r="K150" i="1"/>
  <c r="J150" i="1"/>
  <c r="H150" i="1"/>
  <c r="G150" i="1"/>
  <c r="K149" i="1"/>
  <c r="J149" i="1"/>
  <c r="H149" i="1"/>
  <c r="G149" i="1"/>
  <c r="K148" i="1"/>
  <c r="J148" i="1"/>
  <c r="H148" i="1"/>
  <c r="G148" i="1"/>
  <c r="K147" i="1"/>
  <c r="J147" i="1"/>
  <c r="H147" i="1"/>
  <c r="G147" i="1"/>
  <c r="K146" i="1"/>
  <c r="J146" i="1"/>
  <c r="H146" i="1"/>
  <c r="G146" i="1"/>
  <c r="K145" i="1"/>
  <c r="J145" i="1"/>
  <c r="H145" i="1"/>
  <c r="G145" i="1"/>
  <c r="K144" i="1"/>
  <c r="J144" i="1"/>
  <c r="H144" i="1"/>
  <c r="G144" i="1"/>
  <c r="K143" i="1"/>
  <c r="J143" i="1"/>
  <c r="H143" i="1"/>
  <c r="G143" i="1"/>
  <c r="K142" i="1"/>
  <c r="J142" i="1"/>
  <c r="H142" i="1"/>
  <c r="G142" i="1"/>
  <c r="K141" i="1"/>
  <c r="J141" i="1"/>
  <c r="H141" i="1"/>
  <c r="G141" i="1"/>
  <c r="K140" i="1"/>
  <c r="J140" i="1"/>
  <c r="H140" i="1"/>
  <c r="G140" i="1"/>
  <c r="K139" i="1"/>
  <c r="J139" i="1"/>
  <c r="H139" i="1"/>
  <c r="G139" i="1"/>
  <c r="K138" i="1"/>
  <c r="J138" i="1"/>
  <c r="H138" i="1"/>
  <c r="G138" i="1"/>
  <c r="K137" i="1"/>
  <c r="J137" i="1"/>
  <c r="H137" i="1"/>
  <c r="G137" i="1"/>
  <c r="K136" i="1"/>
  <c r="J136" i="1"/>
  <c r="H136" i="1"/>
  <c r="G136" i="1"/>
  <c r="K135" i="1"/>
  <c r="J135" i="1"/>
  <c r="H135" i="1"/>
  <c r="G135" i="1"/>
  <c r="K134" i="1"/>
  <c r="J134" i="1"/>
  <c r="H134" i="1"/>
  <c r="G134" i="1"/>
  <c r="K133" i="1"/>
  <c r="J133" i="1"/>
  <c r="H133" i="1"/>
  <c r="G133" i="1"/>
  <c r="K132" i="1"/>
  <c r="J132" i="1"/>
  <c r="H132" i="1"/>
  <c r="G132" i="1"/>
  <c r="K131" i="1"/>
  <c r="J131" i="1"/>
  <c r="H131" i="1"/>
  <c r="G131" i="1"/>
  <c r="K130" i="1"/>
  <c r="J130" i="1"/>
  <c r="H130" i="1"/>
  <c r="G130" i="1"/>
  <c r="K129" i="1"/>
  <c r="J129" i="1"/>
  <c r="H129" i="1"/>
  <c r="G129" i="1"/>
  <c r="K128" i="1"/>
  <c r="J128" i="1"/>
  <c r="H128" i="1"/>
  <c r="G128" i="1"/>
  <c r="K127" i="1"/>
  <c r="J127" i="1"/>
  <c r="H127" i="1"/>
  <c r="G127" i="1"/>
  <c r="K126" i="1"/>
  <c r="J126" i="1"/>
  <c r="H126" i="1"/>
  <c r="G126" i="1"/>
  <c r="K125" i="1"/>
  <c r="J125" i="1"/>
  <c r="H125" i="1"/>
  <c r="G125" i="1"/>
  <c r="K124" i="1"/>
  <c r="J124" i="1"/>
  <c r="H124" i="1"/>
  <c r="G124" i="1"/>
  <c r="K123" i="1"/>
  <c r="J123" i="1"/>
  <c r="H123" i="1"/>
  <c r="G123" i="1"/>
  <c r="K122" i="1"/>
  <c r="J122" i="1"/>
  <c r="H122" i="1"/>
  <c r="G122" i="1"/>
  <c r="K121" i="1"/>
  <c r="J121" i="1"/>
  <c r="H121" i="1"/>
  <c r="G121" i="1"/>
  <c r="K120" i="1"/>
  <c r="J120" i="1"/>
  <c r="H120" i="1"/>
  <c r="G120" i="1"/>
  <c r="K119" i="1"/>
  <c r="J119" i="1"/>
  <c r="H119" i="1"/>
  <c r="G119" i="1"/>
  <c r="K118" i="1"/>
  <c r="J118" i="1"/>
  <c r="H118" i="1"/>
  <c r="G118" i="1"/>
  <c r="K117" i="1"/>
  <c r="J117" i="1"/>
  <c r="H117" i="1"/>
  <c r="G117" i="1"/>
  <c r="K116" i="1"/>
  <c r="J116" i="1"/>
  <c r="H116" i="1"/>
  <c r="G116" i="1"/>
  <c r="K115" i="1"/>
  <c r="J115" i="1"/>
  <c r="H115" i="1"/>
  <c r="G115" i="1"/>
  <c r="K114" i="1"/>
  <c r="J114" i="1"/>
  <c r="H114" i="1"/>
  <c r="G114" i="1"/>
  <c r="K113" i="1"/>
  <c r="J113" i="1"/>
  <c r="H113" i="1"/>
  <c r="G113" i="1"/>
  <c r="K112" i="1"/>
  <c r="J112" i="1"/>
  <c r="H112" i="1"/>
  <c r="G112" i="1"/>
  <c r="K111" i="1"/>
  <c r="J111" i="1"/>
  <c r="H111" i="1"/>
  <c r="G111" i="1"/>
  <c r="K110" i="1"/>
  <c r="J110" i="1"/>
  <c r="H110" i="1"/>
  <c r="G110" i="1"/>
  <c r="K109" i="1"/>
  <c r="J109" i="1"/>
  <c r="H109" i="1"/>
  <c r="G109" i="1"/>
  <c r="K108" i="1"/>
  <c r="J108" i="1"/>
  <c r="H108" i="1"/>
  <c r="G108" i="1"/>
  <c r="K107" i="1"/>
  <c r="J107" i="1"/>
  <c r="H107" i="1"/>
  <c r="G107" i="1"/>
  <c r="K106" i="1"/>
  <c r="J106" i="1"/>
  <c r="H106" i="1"/>
  <c r="G106" i="1"/>
  <c r="K105" i="1"/>
  <c r="J105" i="1"/>
  <c r="H105" i="1"/>
  <c r="G105" i="1"/>
  <c r="K104" i="1"/>
  <c r="J104" i="1"/>
  <c r="H104" i="1"/>
  <c r="G104" i="1"/>
  <c r="K103" i="1"/>
  <c r="J103" i="1"/>
  <c r="H103" i="1"/>
  <c r="G103" i="1"/>
  <c r="K102" i="1"/>
  <c r="J102" i="1"/>
  <c r="H102" i="1"/>
  <c r="G102" i="1"/>
  <c r="K101" i="1"/>
  <c r="J101" i="1"/>
  <c r="H101" i="1"/>
  <c r="G101" i="1"/>
  <c r="K100" i="1"/>
  <c r="J100" i="1"/>
  <c r="H100" i="1"/>
  <c r="G100" i="1"/>
  <c r="K99" i="1"/>
  <c r="J99" i="1"/>
  <c r="H99" i="1"/>
  <c r="G99" i="1"/>
  <c r="K98" i="1"/>
  <c r="J98" i="1"/>
  <c r="H98" i="1"/>
  <c r="G98" i="1"/>
  <c r="K97" i="1"/>
  <c r="J97" i="1"/>
  <c r="H97" i="1"/>
  <c r="G97" i="1"/>
  <c r="K96" i="1"/>
  <c r="J96" i="1"/>
  <c r="H96" i="1"/>
  <c r="G96" i="1"/>
  <c r="K95" i="1"/>
  <c r="J95" i="1"/>
  <c r="H95" i="1"/>
  <c r="G95" i="1"/>
  <c r="K94" i="1"/>
  <c r="J94" i="1"/>
  <c r="H94" i="1"/>
  <c r="G94" i="1"/>
  <c r="K93" i="1"/>
  <c r="J93" i="1"/>
  <c r="H93" i="1"/>
  <c r="G93" i="1"/>
  <c r="K92" i="1"/>
  <c r="J92" i="1"/>
  <c r="H92" i="1"/>
  <c r="G92" i="1"/>
  <c r="K91" i="1"/>
  <c r="J91" i="1"/>
  <c r="H91" i="1"/>
  <c r="G91" i="1"/>
  <c r="K90" i="1"/>
  <c r="J90" i="1"/>
  <c r="H90" i="1"/>
  <c r="G90" i="1"/>
  <c r="K89" i="1"/>
  <c r="J89" i="1"/>
  <c r="H89" i="1"/>
  <c r="G89" i="1"/>
  <c r="K88" i="1"/>
  <c r="J88" i="1"/>
  <c r="H88" i="1"/>
  <c r="G88" i="1"/>
  <c r="K87" i="1"/>
  <c r="J87" i="1"/>
  <c r="H87" i="1"/>
  <c r="G87" i="1"/>
  <c r="K86" i="1"/>
  <c r="J86" i="1"/>
  <c r="H86" i="1"/>
  <c r="G86" i="1"/>
  <c r="K85" i="1"/>
  <c r="J85" i="1"/>
  <c r="H85" i="1"/>
  <c r="G85" i="1"/>
  <c r="K84" i="1"/>
  <c r="J84" i="1"/>
  <c r="H84" i="1"/>
  <c r="G84" i="1"/>
  <c r="K83" i="1"/>
  <c r="J83" i="1"/>
  <c r="H83" i="1"/>
  <c r="G83" i="1"/>
  <c r="K82" i="1"/>
  <c r="J82" i="1"/>
  <c r="H82" i="1"/>
  <c r="G82" i="1"/>
  <c r="K81" i="1"/>
  <c r="J81" i="1"/>
  <c r="H81" i="1"/>
  <c r="G81" i="1"/>
  <c r="K80" i="1"/>
  <c r="J80" i="1"/>
  <c r="H80" i="1"/>
  <c r="G80" i="1"/>
  <c r="K79" i="1"/>
  <c r="J79" i="1"/>
  <c r="H79" i="1"/>
  <c r="G79" i="1"/>
  <c r="K78" i="1"/>
  <c r="J78" i="1"/>
  <c r="H78" i="1"/>
  <c r="G78" i="1"/>
  <c r="K77" i="1"/>
  <c r="J77" i="1"/>
  <c r="H77" i="1"/>
  <c r="G77" i="1"/>
  <c r="K76" i="1"/>
  <c r="J76" i="1"/>
  <c r="H76" i="1"/>
  <c r="G76" i="1"/>
  <c r="K75" i="1"/>
  <c r="J75" i="1"/>
  <c r="H75" i="1"/>
  <c r="G75" i="1"/>
  <c r="K74" i="1"/>
  <c r="J74" i="1"/>
  <c r="H74" i="1"/>
  <c r="G74" i="1"/>
  <c r="K73" i="1"/>
  <c r="J73" i="1"/>
  <c r="H73" i="1"/>
  <c r="G73" i="1"/>
  <c r="K72" i="1"/>
  <c r="J72" i="1"/>
  <c r="H72" i="1"/>
  <c r="G72" i="1"/>
  <c r="K71" i="1"/>
  <c r="J71" i="1"/>
  <c r="H71" i="1"/>
  <c r="G71" i="1"/>
  <c r="K70" i="1"/>
  <c r="J70" i="1"/>
  <c r="H70" i="1"/>
  <c r="G70" i="1"/>
  <c r="K69" i="1"/>
  <c r="J69" i="1"/>
  <c r="H69" i="1"/>
  <c r="G69" i="1"/>
  <c r="K68" i="1"/>
  <c r="J68" i="1"/>
  <c r="H68" i="1"/>
  <c r="G68" i="1"/>
  <c r="K67" i="1"/>
  <c r="J67" i="1"/>
  <c r="H67" i="1"/>
  <c r="G67" i="1"/>
  <c r="K66" i="1"/>
  <c r="J66" i="1"/>
  <c r="H66" i="1"/>
  <c r="G66" i="1"/>
  <c r="K65" i="1"/>
  <c r="J65" i="1"/>
  <c r="H65" i="1"/>
  <c r="G65" i="1"/>
  <c r="K64" i="1"/>
  <c r="J64" i="1"/>
  <c r="H64" i="1"/>
  <c r="G64" i="1"/>
  <c r="K63" i="1"/>
  <c r="J63" i="1"/>
  <c r="H63" i="1"/>
  <c r="G63" i="1"/>
  <c r="K62" i="1"/>
  <c r="J62" i="1"/>
  <c r="H62" i="1"/>
  <c r="G62" i="1"/>
  <c r="K61" i="1"/>
  <c r="J61" i="1"/>
  <c r="H61" i="1"/>
  <c r="G61" i="1"/>
  <c r="K60" i="1"/>
  <c r="J60" i="1"/>
  <c r="H60" i="1"/>
  <c r="G60" i="1"/>
  <c r="K59" i="1"/>
  <c r="J59" i="1"/>
  <c r="H59" i="1"/>
  <c r="G59" i="1"/>
  <c r="K58" i="1"/>
  <c r="J58" i="1"/>
  <c r="H58" i="1"/>
  <c r="G58" i="1"/>
  <c r="K57" i="1"/>
  <c r="J57" i="1"/>
  <c r="H57" i="1"/>
  <c r="G57" i="1"/>
  <c r="K56" i="1"/>
  <c r="J56" i="1"/>
  <c r="H56" i="1"/>
  <c r="G56" i="1"/>
  <c r="K55" i="1"/>
  <c r="J55" i="1"/>
  <c r="H55" i="1"/>
  <c r="G55" i="1"/>
  <c r="K54" i="1"/>
  <c r="J54" i="1"/>
  <c r="H54" i="1"/>
  <c r="G54" i="1"/>
  <c r="K53" i="1"/>
  <c r="J53" i="1"/>
  <c r="H53" i="1"/>
  <c r="G53" i="1"/>
  <c r="K52" i="1"/>
  <c r="J52" i="1"/>
  <c r="H52" i="1"/>
  <c r="G52" i="1"/>
  <c r="K51" i="1"/>
  <c r="J51" i="1"/>
  <c r="H51" i="1"/>
  <c r="G51" i="1"/>
  <c r="K50" i="1"/>
  <c r="J50" i="1"/>
  <c r="H50" i="1"/>
  <c r="G50" i="1"/>
  <c r="K49" i="1"/>
  <c r="J49" i="1"/>
  <c r="H49" i="1"/>
  <c r="G49" i="1"/>
  <c r="K48" i="1"/>
  <c r="J48" i="1"/>
  <c r="H48" i="1"/>
  <c r="G48" i="1"/>
  <c r="K47" i="1"/>
  <c r="J47" i="1"/>
  <c r="H47" i="1"/>
  <c r="G47" i="1"/>
  <c r="K46" i="1"/>
  <c r="J46" i="1"/>
  <c r="H46" i="1"/>
  <c r="G46" i="1"/>
  <c r="K45" i="1"/>
  <c r="J45" i="1"/>
  <c r="H45" i="1"/>
  <c r="G45" i="1"/>
  <c r="K44" i="1"/>
  <c r="J44" i="1"/>
  <c r="H44" i="1"/>
  <c r="G44" i="1"/>
  <c r="K43" i="1"/>
  <c r="J43" i="1"/>
  <c r="H43" i="1"/>
  <c r="G43" i="1"/>
  <c r="K42" i="1"/>
  <c r="J42" i="1"/>
  <c r="H42" i="1"/>
  <c r="G42" i="1"/>
  <c r="K41" i="1"/>
  <c r="J41" i="1"/>
  <c r="H41" i="1"/>
  <c r="G41" i="1"/>
  <c r="K40" i="1"/>
  <c r="J40" i="1"/>
  <c r="H40" i="1"/>
  <c r="G40" i="1"/>
  <c r="K39" i="1"/>
  <c r="J39" i="1"/>
  <c r="H39" i="1"/>
  <c r="G39" i="1"/>
  <c r="K38" i="1"/>
  <c r="J38" i="1"/>
  <c r="H38" i="1"/>
  <c r="G38" i="1"/>
  <c r="K37" i="1"/>
  <c r="J37" i="1"/>
  <c r="H37" i="1"/>
  <c r="G37" i="1"/>
  <c r="K36" i="1"/>
  <c r="J36" i="1"/>
  <c r="H36" i="1"/>
  <c r="G36" i="1"/>
  <c r="K35" i="1"/>
  <c r="J35" i="1"/>
  <c r="H35" i="1"/>
  <c r="G35" i="1"/>
  <c r="K34" i="1"/>
  <c r="J34" i="1"/>
  <c r="H34" i="1"/>
  <c r="G34" i="1"/>
  <c r="K33" i="1"/>
  <c r="J33" i="1"/>
  <c r="H33" i="1"/>
  <c r="G33" i="1"/>
  <c r="K32" i="1"/>
  <c r="J32" i="1"/>
  <c r="H32" i="1"/>
  <c r="G32" i="1"/>
  <c r="K31" i="1"/>
  <c r="J31" i="1"/>
  <c r="H31" i="1"/>
  <c r="G31" i="1"/>
  <c r="K30" i="1"/>
  <c r="J30" i="1"/>
  <c r="H30" i="1"/>
  <c r="G30" i="1"/>
  <c r="K29" i="1"/>
  <c r="J29" i="1"/>
  <c r="H29" i="1"/>
  <c r="G29" i="1"/>
  <c r="K28" i="1"/>
  <c r="J28" i="1"/>
  <c r="H28" i="1"/>
  <c r="G28" i="1"/>
  <c r="K27" i="1"/>
  <c r="J27" i="1"/>
  <c r="H27" i="1"/>
  <c r="G27" i="1"/>
  <c r="K26" i="1"/>
  <c r="J26" i="1"/>
  <c r="H26" i="1"/>
  <c r="G26" i="1"/>
  <c r="K25" i="1"/>
  <c r="J25" i="1"/>
  <c r="H25" i="1"/>
  <c r="G25" i="1"/>
  <c r="K24" i="1"/>
  <c r="J24" i="1"/>
  <c r="H24" i="1"/>
  <c r="G24" i="1"/>
  <c r="K23" i="1"/>
  <c r="J23" i="1"/>
  <c r="H23" i="1"/>
  <c r="G23" i="1"/>
  <c r="K22" i="1"/>
  <c r="J22" i="1"/>
  <c r="H22" i="1"/>
  <c r="G22" i="1"/>
  <c r="K21" i="1"/>
  <c r="J21" i="1"/>
  <c r="H21" i="1"/>
  <c r="G21" i="1"/>
  <c r="K20" i="1"/>
  <c r="J20" i="1"/>
  <c r="H20" i="1"/>
  <c r="G20" i="1"/>
  <c r="K19" i="1"/>
  <c r="J19" i="1"/>
  <c r="H19" i="1"/>
  <c r="G19" i="1"/>
  <c r="K18" i="1"/>
  <c r="J18" i="1"/>
  <c r="H18" i="1"/>
  <c r="G18" i="1"/>
  <c r="K17" i="1"/>
  <c r="J17" i="1"/>
  <c r="H17" i="1"/>
  <c r="G17" i="1"/>
  <c r="K16" i="1"/>
  <c r="J16" i="1"/>
  <c r="H16" i="1"/>
  <c r="G16" i="1"/>
  <c r="K15" i="1"/>
  <c r="J15" i="1"/>
  <c r="H15" i="1"/>
  <c r="G15" i="1"/>
  <c r="K14" i="1"/>
  <c r="J14" i="1"/>
  <c r="H14" i="1"/>
  <c r="G14" i="1"/>
  <c r="K13" i="1"/>
  <c r="J13" i="1"/>
  <c r="H13" i="1"/>
  <c r="G13" i="1"/>
  <c r="K12" i="1"/>
  <c r="J12" i="1"/>
  <c r="H12" i="1"/>
  <c r="G12" i="1"/>
  <c r="K11" i="1"/>
  <c r="J11" i="1"/>
  <c r="H11" i="1"/>
  <c r="G11" i="1"/>
  <c r="K10" i="1"/>
  <c r="J10" i="1"/>
  <c r="H10" i="1"/>
  <c r="G10" i="1"/>
  <c r="K9" i="1"/>
  <c r="J9" i="1"/>
  <c r="H9" i="1"/>
  <c r="G9" i="1"/>
  <c r="K8" i="1"/>
  <c r="J8" i="1"/>
  <c r="H8" i="1"/>
  <c r="G8" i="1"/>
  <c r="K7" i="1"/>
  <c r="J7" i="1"/>
  <c r="H7" i="1"/>
  <c r="G7" i="1"/>
  <c r="K6" i="1"/>
  <c r="J6" i="1"/>
  <c r="H6" i="1"/>
  <c r="G6" i="1"/>
  <c r="K5" i="1"/>
  <c r="J5" i="1"/>
  <c r="H5" i="1"/>
  <c r="G5" i="1"/>
  <c r="K4" i="1"/>
  <c r="J4" i="1"/>
  <c r="H4" i="1"/>
  <c r="G4" i="1"/>
  <c r="K3" i="1"/>
  <c r="J3" i="1"/>
  <c r="H3" i="1"/>
  <c r="G3" i="1"/>
  <c r="K2" i="1"/>
  <c r="J2" i="1"/>
  <c r="H2" i="1"/>
  <c r="G2" i="1"/>
</calcChain>
</file>

<file path=xl/sharedStrings.xml><?xml version="1.0" encoding="utf-8"?>
<sst xmlns="http://schemas.openxmlformats.org/spreadsheetml/2006/main" count="1259" uniqueCount="964">
  <si>
    <t>Sr. No.</t>
  </si>
  <si>
    <t>User Name</t>
  </si>
  <si>
    <t>Cathay ID</t>
  </si>
  <si>
    <t>Email Address</t>
  </si>
  <si>
    <t>DEPT</t>
  </si>
  <si>
    <t>CRC_completion</t>
  </si>
  <si>
    <t>CRC_Expire</t>
  </si>
  <si>
    <t>CRC_Recert</t>
  </si>
  <si>
    <t>PPL_completion</t>
  </si>
  <si>
    <t>PPL_Expire</t>
  </si>
  <si>
    <t>PPL_Recert</t>
  </si>
  <si>
    <t>A Ramesh</t>
  </si>
  <si>
    <t>V027ARM</t>
  </si>
  <si>
    <t>V027ARM@cathaypacific.com</t>
  </si>
  <si>
    <t>FLTB_PRT</t>
  </si>
  <si>
    <t>Aafiya Siddiqui</t>
  </si>
  <si>
    <t>V027AAA</t>
  </si>
  <si>
    <t>V027AAA@cathaypacific.com</t>
  </si>
  <si>
    <t>FOP_NCT</t>
  </si>
  <si>
    <t>Aarti Sehgal</t>
  </si>
  <si>
    <t>CPPAARS</t>
  </si>
  <si>
    <t>aarti_sehgal@cathaypacific.com</t>
  </si>
  <si>
    <t>SSR</t>
  </si>
  <si>
    <t>Aashna Momin</t>
  </si>
  <si>
    <t>V027AAS</t>
  </si>
  <si>
    <t>V027AAS@cathaypacific.com</t>
  </si>
  <si>
    <t>DCQ</t>
  </si>
  <si>
    <t xml:space="preserve">Abdul Rahman Khan </t>
  </si>
  <si>
    <t>V027AKT</t>
  </si>
  <si>
    <t>V027AKT@cathaypacific.com</t>
  </si>
  <si>
    <t>Abhijit Bandal</t>
  </si>
  <si>
    <t>CPPABB</t>
  </si>
  <si>
    <t>abhijit_bandal@cathaypacific.com</t>
  </si>
  <si>
    <t>IT</t>
  </si>
  <si>
    <t>Abhijit Khule</t>
  </si>
  <si>
    <t>CPPKHUA</t>
  </si>
  <si>
    <t>abhijit_khule@cathaypacific.com</t>
  </si>
  <si>
    <t>FARES</t>
  </si>
  <si>
    <t>Abhinay Ahire</t>
  </si>
  <si>
    <t>CPPAAH</t>
  </si>
  <si>
    <t>abhinay_ahire@cathaypacific.com</t>
  </si>
  <si>
    <t>Ajinkya Lepkar</t>
  </si>
  <si>
    <t>V027AJL</t>
  </si>
  <si>
    <t>V027AJL@cathaypacific.com</t>
  </si>
  <si>
    <t>Ajit Babar</t>
  </si>
  <si>
    <t>CPPAJBR</t>
  </si>
  <si>
    <t>ajit_babar@cathaypacific.com</t>
  </si>
  <si>
    <t xml:space="preserve">Akbar Ahmed Hashmi </t>
  </si>
  <si>
    <t>V027AHA</t>
  </si>
  <si>
    <t>V027AHA@cathaypacific.com</t>
  </si>
  <si>
    <t>Akshay Poojari</t>
  </si>
  <si>
    <t>V027AKP</t>
  </si>
  <si>
    <t>V027AKP@cathaypacific.com</t>
  </si>
  <si>
    <t>Akshay Salian</t>
  </si>
  <si>
    <t>V027AKS</t>
  </si>
  <si>
    <t>v027aks@cathaypacific.com</t>
  </si>
  <si>
    <t>HtR</t>
  </si>
  <si>
    <t xml:space="preserve">Akshay Takale </t>
  </si>
  <si>
    <t>V027AAT</t>
  </si>
  <si>
    <t>V027AAT@cathaypacific.com</t>
  </si>
  <si>
    <t>Althea Rocha</t>
  </si>
  <si>
    <t>CPPALR</t>
  </si>
  <si>
    <t>althea_rocha@cathaypacific.com</t>
  </si>
  <si>
    <t>IET</t>
  </si>
  <si>
    <t xml:space="preserve">Amarjit Yadav </t>
  </si>
  <si>
    <t>CPPAAY</t>
  </si>
  <si>
    <t>amarjit_yadav@cathaypacific.com</t>
  </si>
  <si>
    <t>Amey Kale</t>
  </si>
  <si>
    <t>CPPAMK</t>
  </si>
  <si>
    <t>amey_kale@cathaypacific.com</t>
  </si>
  <si>
    <t>Ameya Saraf</t>
  </si>
  <si>
    <t>V027AMS</t>
  </si>
  <si>
    <t>V027AMS@cathaypacific.com</t>
  </si>
  <si>
    <t>Amit Jadhav</t>
  </si>
  <si>
    <t>V027AMJ</t>
  </si>
  <si>
    <t>V027AMJ@cathaypacific.com</t>
  </si>
  <si>
    <t xml:space="preserve">Amol Amale </t>
  </si>
  <si>
    <t>V027AMA</t>
  </si>
  <si>
    <t>V027AMA@cathaypacific.com</t>
  </si>
  <si>
    <t xml:space="preserve">Anil Joshi </t>
  </si>
  <si>
    <t>V027ANJ</t>
  </si>
  <si>
    <t>V027ANJ@cathaypacific.com</t>
  </si>
  <si>
    <t>Anil Mathews</t>
  </si>
  <si>
    <t>CPPANIM</t>
  </si>
  <si>
    <t>anil_mathews@cathaypacific.com</t>
  </si>
  <si>
    <t>Anita Rathod</t>
  </si>
  <si>
    <t>CPPANIR</t>
  </si>
  <si>
    <t>anita_rathod@cathaypacific.com</t>
  </si>
  <si>
    <t>DWNL</t>
  </si>
  <si>
    <t>Ankit Jain</t>
  </si>
  <si>
    <t>CPPJIKT</t>
  </si>
  <si>
    <t>ankit_jain@cathaypacific.com</t>
  </si>
  <si>
    <t>Ankita Desale</t>
  </si>
  <si>
    <t>V027AND</t>
  </si>
  <si>
    <t>V027AND@cathaypacific.com</t>
  </si>
  <si>
    <t>Anmol Koparde</t>
  </si>
  <si>
    <t>V027ANK</t>
  </si>
  <si>
    <t>V027ANK@cathaypacific.com</t>
  </si>
  <si>
    <t>Ansari Abdul</t>
  </si>
  <si>
    <t>CPPANAB</t>
  </si>
  <si>
    <t>ansari_abdul@cathaypacific.com</t>
  </si>
  <si>
    <t>Anushree Pujari</t>
  </si>
  <si>
    <t>V027ANP</t>
  </si>
  <si>
    <t>V027ANPanp@cathaypacific.com</t>
  </si>
  <si>
    <t>Aparna Joshi</t>
  </si>
  <si>
    <t>CPPAPJ</t>
  </si>
  <si>
    <t>CPPAPJ@cathaypacific.com</t>
  </si>
  <si>
    <t>CHL</t>
  </si>
  <si>
    <t>Apurva Hate</t>
  </si>
  <si>
    <t>CPPAPH</t>
  </si>
  <si>
    <t>apurva_hate@cathaypacific.com</t>
  </si>
  <si>
    <t>Aqsa Khan</t>
  </si>
  <si>
    <t>V027AQK</t>
  </si>
  <si>
    <t>V027AQK@cathaypacific.com</t>
  </si>
  <si>
    <t xml:space="preserve">Arfat Bashe </t>
  </si>
  <si>
    <t>V027AAB</t>
  </si>
  <si>
    <t>V027AAB@cathaypacific.com</t>
  </si>
  <si>
    <t>Arpita Kantol</t>
  </si>
  <si>
    <t>CPPARKA</t>
  </si>
  <si>
    <t>arpita_kantol@cathaypacific.com</t>
  </si>
  <si>
    <t>Asawary Dalvi</t>
  </si>
  <si>
    <t>V027ASD</t>
  </si>
  <si>
    <t>V027ASD@cathaypacific.com</t>
  </si>
  <si>
    <t>Ashwin Jadhav</t>
  </si>
  <si>
    <t>V027ASJ</t>
  </si>
  <si>
    <t>V027ASJ@cathaypacific.com</t>
  </si>
  <si>
    <t>Asifiqbal Matte</t>
  </si>
  <si>
    <t>V027AAM</t>
  </si>
  <si>
    <t>asifiqbal_matte@cathaypacific.com</t>
  </si>
  <si>
    <t>Aswathy Gopakumar</t>
  </si>
  <si>
    <t>V027AAG</t>
  </si>
  <si>
    <t>V027AAG@cathaypacific.com</t>
  </si>
  <si>
    <t>Azhar Mohammad</t>
  </si>
  <si>
    <t>CPPAZM</t>
  </si>
  <si>
    <t>azhar_mohammad@cathaypacific.com</t>
  </si>
  <si>
    <t xml:space="preserve">Azharuddin Shaikh </t>
  </si>
  <si>
    <t>V027AZS</t>
  </si>
  <si>
    <t>V027AZS@cathaypacific.com</t>
  </si>
  <si>
    <t>Bhagyashree Sharma</t>
  </si>
  <si>
    <t>V027BBS</t>
  </si>
  <si>
    <t>V027BSS@cathaypacific.com</t>
  </si>
  <si>
    <t>HR</t>
  </si>
  <si>
    <t>Bhavesh Bhatia</t>
  </si>
  <si>
    <t>V027BHA</t>
  </si>
  <si>
    <t>V027BHA@cathaypacific.com</t>
  </si>
  <si>
    <t>Bhavesh Patil</t>
  </si>
  <si>
    <t>V027BHP</t>
  </si>
  <si>
    <t>V027BHP@cathaypacific.com</t>
  </si>
  <si>
    <t>Bhavika Bhosle</t>
  </si>
  <si>
    <t>V027BBB</t>
  </si>
  <si>
    <t>V027BBB@cathaypacific.com</t>
  </si>
  <si>
    <t>Bhushan Badgujar</t>
  </si>
  <si>
    <t>V027BBR</t>
  </si>
  <si>
    <t>V027BBR@cathaypacific.com</t>
  </si>
  <si>
    <t>Brayal Lepez</t>
  </si>
  <si>
    <t>CPPBRAL</t>
  </si>
  <si>
    <t>brayal_lepez@cathaypacific.com</t>
  </si>
  <si>
    <t xml:space="preserve">Chandrakant Bagul </t>
  </si>
  <si>
    <t>V027CBA</t>
  </si>
  <si>
    <t>V027CBA@cathaypacific.com</t>
  </si>
  <si>
    <t>Chandrashekhar Padashetty</t>
  </si>
  <si>
    <t>CPPCHAP</t>
  </si>
  <si>
    <t>c_padashetty@cathaypacific.com</t>
  </si>
  <si>
    <t>Chetan Badkas</t>
  </si>
  <si>
    <t>V027CHB</t>
  </si>
  <si>
    <t>V027CHB@cathaypacific.com</t>
  </si>
  <si>
    <t>Chetan Bavakar</t>
  </si>
  <si>
    <t>CPPCHBA</t>
  </si>
  <si>
    <t>chetan_bavakar@cathaypacific.com</t>
  </si>
  <si>
    <t>Clare Noronha</t>
  </si>
  <si>
    <t>CPPCLN</t>
  </si>
  <si>
    <t>clare_noronha@cathaypacific.com</t>
  </si>
  <si>
    <t>OPS</t>
  </si>
  <si>
    <t>Clevita Leitao</t>
  </si>
  <si>
    <t>V027CLL</t>
  </si>
  <si>
    <t>v027cll@cathaypacific.com</t>
  </si>
  <si>
    <t>Daksha Deveriya</t>
  </si>
  <si>
    <t>V027DDD</t>
  </si>
  <si>
    <t>v027ddd@cathaypacific.com</t>
  </si>
  <si>
    <t>Darshan Satra</t>
  </si>
  <si>
    <t>V027BDS</t>
  </si>
  <si>
    <t>V027BDS@cathaypacific.com</t>
  </si>
  <si>
    <t>Darshana Chunekar</t>
  </si>
  <si>
    <t>CPPDHC</t>
  </si>
  <si>
    <t>darshana_chunekar@cathaypacific.com</t>
  </si>
  <si>
    <t>Darshana Keni</t>
  </si>
  <si>
    <t>CPPDAK</t>
  </si>
  <si>
    <t>darshana_keni@cathaypacific.com</t>
  </si>
  <si>
    <t>Deborah Narayanan</t>
  </si>
  <si>
    <t>CPPDEN</t>
  </si>
  <si>
    <t>deborah_narayanan@cathaypacific.com</t>
  </si>
  <si>
    <t>Deepak Gaikwad</t>
  </si>
  <si>
    <t>V027DDG</t>
  </si>
  <si>
    <t>V027DDG@cathaypacific.com</t>
  </si>
  <si>
    <t>Deepak Pawar</t>
  </si>
  <si>
    <t>CPPDPAK</t>
  </si>
  <si>
    <t>deepak_pawar@cathaypacific.com</t>
  </si>
  <si>
    <t>Deepak Rajguru</t>
  </si>
  <si>
    <t>CPPDKRU</t>
  </si>
  <si>
    <t>deepak_rajguru@cathaypacific.com</t>
  </si>
  <si>
    <t>Deepak Rawat</t>
  </si>
  <si>
    <t>V027DER</t>
  </si>
  <si>
    <t>V027DER@cathaypacific.com</t>
  </si>
  <si>
    <t xml:space="preserve">Deepika Mayangade </t>
  </si>
  <si>
    <t>CPPDEEM</t>
  </si>
  <si>
    <t>deepika_mayangade@cathaypacific.com</t>
  </si>
  <si>
    <t>Deepti Muranjan</t>
  </si>
  <si>
    <t>CPPDEM</t>
  </si>
  <si>
    <t>deepti_muranjan@cathaypacific.com</t>
  </si>
  <si>
    <t>Devang Sandesara</t>
  </si>
  <si>
    <t>V027DES</t>
  </si>
  <si>
    <t>V027DES@cathaypacific.com</t>
  </si>
  <si>
    <t>Dhawal Dighe</t>
  </si>
  <si>
    <t>V027DHD</t>
  </si>
  <si>
    <t>V027DHD@cathaypacific.com</t>
  </si>
  <si>
    <t>DBT</t>
  </si>
  <si>
    <t xml:space="preserve">Dheerajkumar Choudhari </t>
  </si>
  <si>
    <t>V027DDC</t>
  </si>
  <si>
    <t>V027DDC@cathaypacific.com</t>
  </si>
  <si>
    <t>Dhiraj Singh</t>
  </si>
  <si>
    <t>CPPDJSH</t>
  </si>
  <si>
    <t>dhiraj_singh@cathaypacific.com</t>
  </si>
  <si>
    <t>Dileep Kanaujia</t>
  </si>
  <si>
    <t>V027DDK</t>
  </si>
  <si>
    <t>v027ddk@cathaypacific.com</t>
  </si>
  <si>
    <t xml:space="preserve">Dinesh Gopale </t>
  </si>
  <si>
    <t>V027DIN</t>
  </si>
  <si>
    <t>dinesh_gopale@cathaypacific.com</t>
  </si>
  <si>
    <t>Dipali Jadhav</t>
  </si>
  <si>
    <t>V027DIJ</t>
  </si>
  <si>
    <t>v027dij@cathaypacific.com</t>
  </si>
  <si>
    <t>Dipali Sudi</t>
  </si>
  <si>
    <t>V027DDS</t>
  </si>
  <si>
    <t>v027abc@cathaypacific.com</t>
  </si>
  <si>
    <t>Durgesh Singh</t>
  </si>
  <si>
    <t>V027DUS</t>
  </si>
  <si>
    <t>v027dus@cathaypacific.com</t>
  </si>
  <si>
    <t>Dusa Sangthong</t>
  </si>
  <si>
    <t>CPPDUS</t>
  </si>
  <si>
    <t>dusa_sangthong@cathaypacific.com</t>
  </si>
  <si>
    <t>Ellery Mendonsa</t>
  </si>
  <si>
    <t>CPPELLM</t>
  </si>
  <si>
    <t>ellery_mendonsa@cathaypacific.com</t>
  </si>
  <si>
    <t>Elsa D'Costa</t>
  </si>
  <si>
    <t>CPPELD</t>
  </si>
  <si>
    <t>elsa_dcosta@cathaypacific.com</t>
  </si>
  <si>
    <t>PA</t>
  </si>
  <si>
    <t>Faizan Motiwala</t>
  </si>
  <si>
    <t>V027FFM</t>
  </si>
  <si>
    <t>v027ffm@cathaypacific.com</t>
  </si>
  <si>
    <t>Faizan Shaikh</t>
  </si>
  <si>
    <t>V027FAS</t>
  </si>
  <si>
    <t>V027FAS@cathaypacific.com</t>
  </si>
  <si>
    <t>Flavina Fernandes</t>
  </si>
  <si>
    <t>V027FFF</t>
  </si>
  <si>
    <t>flavina_fernandes@cathaypacific.com</t>
  </si>
  <si>
    <t>Gayas Sait</t>
  </si>
  <si>
    <t>V027GAS</t>
  </si>
  <si>
    <t>V027GAS@cathaypacific.com</t>
  </si>
  <si>
    <t>Harsha Salekar</t>
  </si>
  <si>
    <t>V027HHS</t>
  </si>
  <si>
    <t>V027HHS@cathaypacific.com</t>
  </si>
  <si>
    <t>Harshada Ghate</t>
  </si>
  <si>
    <t>V027HHG</t>
  </si>
  <si>
    <t>harshada_ghate@cathaypacific.com</t>
  </si>
  <si>
    <t>Harshal Karande</t>
  </si>
  <si>
    <t>V027HHK</t>
  </si>
  <si>
    <t>v027hhk@cathaypacific.com</t>
  </si>
  <si>
    <t>Harvey De Souza</t>
  </si>
  <si>
    <t>V027HDS</t>
  </si>
  <si>
    <t>v027hds@cathaypacific.com</t>
  </si>
  <si>
    <t>Himanshu Shardule</t>
  </si>
  <si>
    <t>CPPHUSE</t>
  </si>
  <si>
    <t>himanshu_shardule@cathaypacific.com</t>
  </si>
  <si>
    <t xml:space="preserve">Hrishikesh Kelkar </t>
  </si>
  <si>
    <t>CPPHRKE</t>
  </si>
  <si>
    <t>hrishikesh_kelkar@cathaypacific.com</t>
  </si>
  <si>
    <t>Ishan Jathar</t>
  </si>
  <si>
    <t>V027ISJ</t>
  </si>
  <si>
    <t>V027ISJ@cathaypacific.com</t>
  </si>
  <si>
    <t>Janhavi Sonawane</t>
  </si>
  <si>
    <t>CPPJANS</t>
  </si>
  <si>
    <t>CPPJANS@cathaypacific.com</t>
  </si>
  <si>
    <t>Jashoda Gond</t>
  </si>
  <si>
    <t>V027JAG</t>
  </si>
  <si>
    <t>V027JAG@cathaypacific.com</t>
  </si>
  <si>
    <t>Javed Khan</t>
  </si>
  <si>
    <t>V027JJK</t>
  </si>
  <si>
    <t>v027jjk@cathaypacific.com</t>
  </si>
  <si>
    <t>Jayachandran Kurup</t>
  </si>
  <si>
    <t>CPPJAYK</t>
  </si>
  <si>
    <t>jayachandran_kurup@cathaypacific.com</t>
  </si>
  <si>
    <t>Jaydeep Dabade</t>
  </si>
  <si>
    <t>V027JAD</t>
  </si>
  <si>
    <t>V027JAD@cathaypacific.com</t>
  </si>
  <si>
    <t>Jayesh Prajapati</t>
  </si>
  <si>
    <t>V027JJP</t>
  </si>
  <si>
    <t>v027jjp@cathaypacific.com</t>
  </si>
  <si>
    <t xml:space="preserve">Jignesh Solanki </t>
  </si>
  <si>
    <t>V027JIS</t>
  </si>
  <si>
    <t>V027JIS@cathaypacific.com</t>
  </si>
  <si>
    <t>Johnson Williams</t>
  </si>
  <si>
    <t>V027JJW</t>
  </si>
  <si>
    <t>v027jjw@cathaypacific.com</t>
  </si>
  <si>
    <t>Jorlus D’britto</t>
  </si>
  <si>
    <t>CPPJOD</t>
  </si>
  <si>
    <t>jorlus_dbritto@cathaypacific.com</t>
  </si>
  <si>
    <t>Jotsna Pereira</t>
  </si>
  <si>
    <t>CPPJAPA</t>
  </si>
  <si>
    <t>jotsna_pereira@cathaypacific.com</t>
  </si>
  <si>
    <t>Jovita Lobo</t>
  </si>
  <si>
    <t>V027JOL</t>
  </si>
  <si>
    <t>V027ZOL@cathaypacific.com</t>
  </si>
  <si>
    <t>Jyotsna Patankar</t>
  </si>
  <si>
    <t>CPPJYOP</t>
  </si>
  <si>
    <t>jyotsna_patankar@cathaypacific.com</t>
  </si>
  <si>
    <t>Kaizad Daruwalla</t>
  </si>
  <si>
    <t>CPPKAD</t>
  </si>
  <si>
    <t>kaizad_daruwalla@cathaypacific.com</t>
  </si>
  <si>
    <t xml:space="preserve">Kalpesh Deore </t>
  </si>
  <si>
    <t>V027KAD</t>
  </si>
  <si>
    <t>v027kad@cathaypacific.com</t>
  </si>
  <si>
    <t>Kanchan Surve</t>
  </si>
  <si>
    <t>CPPKANS</t>
  </si>
  <si>
    <t>kanchan_surve@cathaypacific.com</t>
  </si>
  <si>
    <t>Karan Badade</t>
  </si>
  <si>
    <t>V027KKB</t>
  </si>
  <si>
    <t>V027KKB@cathaypacific.com</t>
  </si>
  <si>
    <t xml:space="preserve">Kavita Malandkar </t>
  </si>
  <si>
    <t>CPPKAMA</t>
  </si>
  <si>
    <t>kavita_malandkar@cathaypacific.com</t>
  </si>
  <si>
    <t>Ketan Aloni</t>
  </si>
  <si>
    <t>V027KEA</t>
  </si>
  <si>
    <t>V027KEA@cathaypacific.com</t>
  </si>
  <si>
    <t>Ketan Hande</t>
  </si>
  <si>
    <t>CPPKEHA</t>
  </si>
  <si>
    <t>ketan_hande@cathaypacific.com</t>
  </si>
  <si>
    <t>Ketan Shelar</t>
  </si>
  <si>
    <t>V027KKS</t>
  </si>
  <si>
    <t>V027KKS@cathaypacific.com</t>
  </si>
  <si>
    <t>Ketan Wadkar</t>
  </si>
  <si>
    <t>V027KKW</t>
  </si>
  <si>
    <t>v027kkw@cathaypacific.com</t>
  </si>
  <si>
    <t>Khan Israr</t>
  </si>
  <si>
    <t>CPPKHAI</t>
  </si>
  <si>
    <t>khan_israr@cathaypacific.com</t>
  </si>
  <si>
    <t>Kiran Gambhir</t>
  </si>
  <si>
    <t>CPPKIGA</t>
  </si>
  <si>
    <t>kiran_gambhir@cathaypacific.com</t>
  </si>
  <si>
    <t>Kiran Lad</t>
  </si>
  <si>
    <t>V027KIL</t>
  </si>
  <si>
    <t>v027kil@cathaypacific.com</t>
  </si>
  <si>
    <t>Krishna Kumar</t>
  </si>
  <si>
    <t>CPPKRK</t>
  </si>
  <si>
    <t>krishna_kumar@cathaypacific.com</t>
  </si>
  <si>
    <t>Krishnakant Gupta</t>
  </si>
  <si>
    <t>CPPKKG</t>
  </si>
  <si>
    <t>Krishnakant_Gupta@cathaypacific.com</t>
  </si>
  <si>
    <t>Krutika Mhatre</t>
  </si>
  <si>
    <t>V027KKM</t>
  </si>
  <si>
    <t>v027kkm@cathaypacific.com</t>
  </si>
  <si>
    <t>Kuna Bhoir</t>
  </si>
  <si>
    <t>CPPKUB</t>
  </si>
  <si>
    <t>kuna_bhoir@cathaypacific.com</t>
  </si>
  <si>
    <t>Laxmi Naidu</t>
  </si>
  <si>
    <t>V027LLN</t>
  </si>
  <si>
    <t>laxmi_naidu@cathaypacific.com</t>
  </si>
  <si>
    <t>Laxmi Prajapati</t>
  </si>
  <si>
    <t>V027LAX</t>
  </si>
  <si>
    <t>V027LAX@cathaypacific.com</t>
  </si>
  <si>
    <t>Leena Kirti</t>
  </si>
  <si>
    <t>CPPLEKI</t>
  </si>
  <si>
    <t>leena_kirti@cathaypacific.com</t>
  </si>
  <si>
    <t>Lilac Lewis</t>
  </si>
  <si>
    <t>CPPLILL</t>
  </si>
  <si>
    <t>lilac_lewis@cathaypacific.com</t>
  </si>
  <si>
    <t>QC</t>
  </si>
  <si>
    <t>Lokesh Poojary</t>
  </si>
  <si>
    <t>CPPLKPY</t>
  </si>
  <si>
    <t>lokesh_poojary@cathaypacific.com</t>
  </si>
  <si>
    <t>Lydia Carneiro</t>
  </si>
  <si>
    <t>CPPLYDC</t>
  </si>
  <si>
    <t>lydia_carneiro@cathaypacific.com</t>
  </si>
  <si>
    <t>TRNG</t>
  </si>
  <si>
    <t>Madhuri Alahit</t>
  </si>
  <si>
    <t>CPPMADM</t>
  </si>
  <si>
    <t>madhuri_alahit@cathaypacific.com</t>
  </si>
  <si>
    <t>Mahesh Lohakare</t>
  </si>
  <si>
    <t>V027MML</t>
  </si>
  <si>
    <t>V027MML@cathaypacific.com</t>
  </si>
  <si>
    <t>Mahesh Modak</t>
  </si>
  <si>
    <t>CPPMAMO</t>
  </si>
  <si>
    <t>mah_mm_modak@cathaypacific.com</t>
  </si>
  <si>
    <t>Mandar Warang</t>
  </si>
  <si>
    <t>CPPMANW</t>
  </si>
  <si>
    <t>mandar_warang@cathaypacific.com</t>
  </si>
  <si>
    <t>Manisha Kapoor</t>
  </si>
  <si>
    <t>CPPMAK</t>
  </si>
  <si>
    <t>manisha_kapoor@cathaypacific.com</t>
  </si>
  <si>
    <t>MNG.</t>
  </si>
  <si>
    <t>Manjrekar Yashashree</t>
  </si>
  <si>
    <t>CPPYMA</t>
  </si>
  <si>
    <t>yashashree_manjrekar@cathaypacific.com</t>
  </si>
  <si>
    <t>Manoj Nimse</t>
  </si>
  <si>
    <t>CPPMANI</t>
  </si>
  <si>
    <t>manoj_nimse@cathaypacific.com</t>
  </si>
  <si>
    <t>Manoj Patil</t>
  </si>
  <si>
    <t>CPPMANP</t>
  </si>
  <si>
    <t>manoj_patil@cathaypacific.com</t>
  </si>
  <si>
    <t>Manoj Salunke</t>
  </si>
  <si>
    <t>CPPMSA</t>
  </si>
  <si>
    <t>cppmsa@cathaypacific.com</t>
  </si>
  <si>
    <t>Marlyn Fernandes</t>
  </si>
  <si>
    <t>V027MFD</t>
  </si>
  <si>
    <t>v027mfd@cathaypacific.com</t>
  </si>
  <si>
    <t>Martina Gandhi</t>
  </si>
  <si>
    <t>V027MAG</t>
  </si>
  <si>
    <t>martina_gandhi@cathaypacific.com</t>
  </si>
  <si>
    <t xml:space="preserve">Martina Parampogu </t>
  </si>
  <si>
    <t>V027MMP</t>
  </si>
  <si>
    <t>v027mmp@cathaypacific.com</t>
  </si>
  <si>
    <t>Maxson D'Britto</t>
  </si>
  <si>
    <t>CPPMDBA</t>
  </si>
  <si>
    <t>maxson_dbritto@cathaypacific.com</t>
  </si>
  <si>
    <t>Maya Makwana</t>
  </si>
  <si>
    <t>V027MAM</t>
  </si>
  <si>
    <t>v027mam@cathaypacific.com</t>
  </si>
  <si>
    <t>Mayuri Joshi</t>
  </si>
  <si>
    <t>V027MMJ</t>
  </si>
  <si>
    <t>v027mmj@cathaypacific.com</t>
  </si>
  <si>
    <t>Megha Zunjarrao</t>
  </si>
  <si>
    <t>CPPZMEA</t>
  </si>
  <si>
    <t>megha_zunjarrao@cathaypacific.com</t>
  </si>
  <si>
    <t xml:space="preserve">Michael Joseph </t>
  </si>
  <si>
    <t>CPPJMM</t>
  </si>
  <si>
    <t>michael_joseph@cathaypacific.com</t>
  </si>
  <si>
    <t>Minal Potphode</t>
  </si>
  <si>
    <t>CPPMIPO</t>
  </si>
  <si>
    <t>minal_potphode@cathaypacific.com</t>
  </si>
  <si>
    <t xml:space="preserve">Mita Engineer </t>
  </si>
  <si>
    <t>V027MIE</t>
  </si>
  <si>
    <t>V027MIE@cathaypacific.com</t>
  </si>
  <si>
    <t>Mitra Naimi</t>
  </si>
  <si>
    <t>CPPMITN</t>
  </si>
  <si>
    <t>mitra_naimi@cathaypacific.com</t>
  </si>
  <si>
    <t>Mohammad Adil Babuji</t>
  </si>
  <si>
    <t>V027MOB</t>
  </si>
  <si>
    <t>V027MOB@cathaypacific.com</t>
  </si>
  <si>
    <t>Mohammed Nadeem Shaikh</t>
  </si>
  <si>
    <t>V027MMS</t>
  </si>
  <si>
    <t>v027mms@cathaypacific.com</t>
  </si>
  <si>
    <t>Monali More</t>
  </si>
  <si>
    <t>V027MOM</t>
  </si>
  <si>
    <t>V027MOM@cathaypacific.com</t>
  </si>
  <si>
    <t>Mrunal Deshmukh</t>
  </si>
  <si>
    <t>V027DEM</t>
  </si>
  <si>
    <t>v027dem@cathaypacific.com</t>
  </si>
  <si>
    <t>Mrunal Khochare</t>
  </si>
  <si>
    <t>V027MRK</t>
  </si>
  <si>
    <t>v027mrk@cathaypacific.com</t>
  </si>
  <si>
    <t>Muriel Braz</t>
  </si>
  <si>
    <t>CPPMUB</t>
  </si>
  <si>
    <t>muriel_braz@cathaypacific.com</t>
  </si>
  <si>
    <t xml:space="preserve">Murillo Gonsalves </t>
  </si>
  <si>
    <t>CPPMURG</t>
  </si>
  <si>
    <t>murillo_gonsalves@cathaypacific.com</t>
  </si>
  <si>
    <t xml:space="preserve">Mustaqeem Patwekar </t>
  </si>
  <si>
    <t>V027MUP</t>
  </si>
  <si>
    <t>V027MUP@cathaypacific.com</t>
  </si>
  <si>
    <t xml:space="preserve">Nafees Hussain Sayyed </t>
  </si>
  <si>
    <t>V027NHS</t>
  </si>
  <si>
    <t>V027NHS@cathaypacific.com</t>
  </si>
  <si>
    <t>Naimuddin Shaikh</t>
  </si>
  <si>
    <t>V027NNS</t>
  </si>
  <si>
    <t>V027NNS@cathaypacific.com</t>
  </si>
  <si>
    <t>Narendra Chawan</t>
  </si>
  <si>
    <t>V027NAC</t>
  </si>
  <si>
    <t>V027NAC@cathaypacific.com</t>
  </si>
  <si>
    <t>Neha Arora</t>
  </si>
  <si>
    <t>V027NNA</t>
  </si>
  <si>
    <t>V027NNA@cathaypacific.com</t>
  </si>
  <si>
    <t>Nikhil Padmanabhan</t>
  </si>
  <si>
    <t>CPPNKPD</t>
  </si>
  <si>
    <t>nikhil_padmanabhan@cathaypacific.com</t>
  </si>
  <si>
    <t>FIN</t>
  </si>
  <si>
    <t>Nikita Godambe</t>
  </si>
  <si>
    <t>CPPNGIO</t>
  </si>
  <si>
    <t>nikita_godambe@cathaypacific.com</t>
  </si>
  <si>
    <t>Nikita Manjarekar</t>
  </si>
  <si>
    <t>CPPMNN</t>
  </si>
  <si>
    <t>nikita_manjarekar@cathaypacific.com</t>
  </si>
  <si>
    <t>Nilesh Bulsara</t>
  </si>
  <si>
    <t>CPPNILB</t>
  </si>
  <si>
    <t>nilesh_bulsara@cathaypacific.com</t>
  </si>
  <si>
    <t>Nilesh Raghavan</t>
  </si>
  <si>
    <t>CPPNILR</t>
  </si>
  <si>
    <t>nilesh_raghavan@cathaypacific.com</t>
  </si>
  <si>
    <t>Nilufer Badhniwalla</t>
  </si>
  <si>
    <t>CPPNIB</t>
  </si>
  <si>
    <t>nilufer_badhniwalla@cathaypacific.com</t>
  </si>
  <si>
    <t xml:space="preserve">Niteen Bhosale </t>
  </si>
  <si>
    <t>V027NIB</t>
  </si>
  <si>
    <t>v027nib@cathaypacific.com</t>
  </si>
  <si>
    <t>Nitesh Kadam</t>
  </si>
  <si>
    <t>V027NIK</t>
  </si>
  <si>
    <t>V027NIK@cathaypacific.com</t>
  </si>
  <si>
    <t>V027KAN</t>
  </si>
  <si>
    <t>V027KAN@cathaypacific.com</t>
  </si>
  <si>
    <t>Nitesh Poojary</t>
  </si>
  <si>
    <t>V027NNP</t>
  </si>
  <si>
    <t>nitesh_poojary@cathaypacific.com</t>
  </si>
  <si>
    <t>Nitin Bhise</t>
  </si>
  <si>
    <t>V027NBE</t>
  </si>
  <si>
    <t>V027NBE@cathaypacific.com</t>
  </si>
  <si>
    <t>Nitin Hangekar</t>
  </si>
  <si>
    <t>V027NNH</t>
  </si>
  <si>
    <t>nitin_hangekar@cathaypacific.com</t>
  </si>
  <si>
    <t xml:space="preserve">Nitin Sondkar </t>
  </si>
  <si>
    <t>V027NIT</t>
  </si>
  <si>
    <t>v027nit@cathaypacific.com</t>
  </si>
  <si>
    <t>Nuzah Roghay</t>
  </si>
  <si>
    <t>CPPNUR</t>
  </si>
  <si>
    <t>nuzah_roghay@cathaypacific.com</t>
  </si>
  <si>
    <t>Pascol D'Souza</t>
  </si>
  <si>
    <t xml:space="preserve">CPPPDAS </t>
  </si>
  <si>
    <t>pascol_souza@cathaypacific.com</t>
  </si>
  <si>
    <t>Pooja Jethva</t>
  </si>
  <si>
    <t>V027POJ</t>
  </si>
  <si>
    <t>V027POJ@cathaypacific.com</t>
  </si>
  <si>
    <t>Pooja Khanna</t>
  </si>
  <si>
    <t>V027POK</t>
  </si>
  <si>
    <t>v027pok@cathaypacific.com</t>
  </si>
  <si>
    <t>Pooja Naik</t>
  </si>
  <si>
    <t>V027PON</t>
  </si>
  <si>
    <t>v027pon@cathaypacific.com</t>
  </si>
  <si>
    <t>Prachi Birvadkar</t>
  </si>
  <si>
    <t>V027PRI</t>
  </si>
  <si>
    <t>prachi_birvadkar@cathaypacific.com</t>
  </si>
  <si>
    <t xml:space="preserve">Prachi Dudwadkar </t>
  </si>
  <si>
    <t>V027BPP</t>
  </si>
  <si>
    <t>v027bpp@cathaypacific.com</t>
  </si>
  <si>
    <t>Pradeep Jagtap</t>
  </si>
  <si>
    <t>V027PRJ</t>
  </si>
  <si>
    <t>V027PRJ@cathaypacific.com</t>
  </si>
  <si>
    <t>Praful Kamble</t>
  </si>
  <si>
    <t>V027PPK</t>
  </si>
  <si>
    <t>v027ppk@cathaypacific.com</t>
  </si>
  <si>
    <t>Prasad Gosavi</t>
  </si>
  <si>
    <t>CPPPRG</t>
  </si>
  <si>
    <t>prasad_gosavi@cathaypacific.com</t>
  </si>
  <si>
    <t>Prasad Khule</t>
  </si>
  <si>
    <t>CPPPRKH</t>
  </si>
  <si>
    <t>prasad_khule@cathaypacific.com</t>
  </si>
  <si>
    <t>Prashant Bhekat</t>
  </si>
  <si>
    <t>V027PRB</t>
  </si>
  <si>
    <t>prashant_bhekat@cathaypacific.com</t>
  </si>
  <si>
    <t>Prashant Haldankar</t>
  </si>
  <si>
    <t>CPPPRH</t>
  </si>
  <si>
    <t>CPPPRH@cathaypacific.com</t>
  </si>
  <si>
    <t>Prashant Sawant</t>
  </si>
  <si>
    <t>V027PPS</t>
  </si>
  <si>
    <t>V027PPS@cathaypacific.com</t>
  </si>
  <si>
    <t xml:space="preserve">Prathamesh Sawant </t>
  </si>
  <si>
    <t>V027PRS</t>
  </si>
  <si>
    <t>V027PRS@cathaypacific.com</t>
  </si>
  <si>
    <t>Prathamesh Tamne</t>
  </si>
  <si>
    <t>V027PRT</t>
  </si>
  <si>
    <t>V027PRT@cathaypacific.com</t>
  </si>
  <si>
    <t xml:space="preserve">Pratik Hegde </t>
  </si>
  <si>
    <t>V027BPH</t>
  </si>
  <si>
    <t>v027bph@cathaypacific.com</t>
  </si>
  <si>
    <t xml:space="preserve">Pravin Shinde </t>
  </si>
  <si>
    <t>V027PRA</t>
  </si>
  <si>
    <t>V027PRA@cathaypacific.com</t>
  </si>
  <si>
    <t>Pravin Walam</t>
  </si>
  <si>
    <t>V027PPW</t>
  </si>
  <si>
    <t>V027PPW@cathaypacific.com</t>
  </si>
  <si>
    <t>Preeti Patil</t>
  </si>
  <si>
    <t>V027PRP</t>
  </si>
  <si>
    <t>V027PRP@cathaypacific.com</t>
  </si>
  <si>
    <t>Preeti Tejani</t>
  </si>
  <si>
    <t>CPPPRET</t>
  </si>
  <si>
    <t>preeti_tejani@cathaypacific.com</t>
  </si>
  <si>
    <t>Priyanka Nijap</t>
  </si>
  <si>
    <t>V027PPN</t>
  </si>
  <si>
    <t>priyanka_nijap@cathaypacific.com</t>
  </si>
  <si>
    <t>Priyanka Parab</t>
  </si>
  <si>
    <t>CPPPRIP</t>
  </si>
  <si>
    <t>CPPPRIP@cathaypacific.com</t>
  </si>
  <si>
    <t>Priyanka Zagade</t>
  </si>
  <si>
    <t>V027PRZ</t>
  </si>
  <si>
    <t>v027prz@cathaypacific.com</t>
  </si>
  <si>
    <t>Pupul Gavit</t>
  </si>
  <si>
    <t>V027PPG</t>
  </si>
  <si>
    <t>v027ppg@cathaypacific.com</t>
  </si>
  <si>
    <t>Pushkar Pethe</t>
  </si>
  <si>
    <t>CPPPKPE</t>
  </si>
  <si>
    <t>pushkar_pethe@cathaypacific.com</t>
  </si>
  <si>
    <t>Rachana Kamble</t>
  </si>
  <si>
    <t>V027RRK</t>
  </si>
  <si>
    <t>v027rrk@cathaypacific.com</t>
  </si>
  <si>
    <t xml:space="preserve">Rahul Agedkar </t>
  </si>
  <si>
    <t>CPPRARA</t>
  </si>
  <si>
    <t>rahul_agedkar@cathaypacific.com</t>
  </si>
  <si>
    <t>Rahul Goraksha</t>
  </si>
  <si>
    <t>V027RAG</t>
  </si>
  <si>
    <t>V027RAG@cathaypacific.com</t>
  </si>
  <si>
    <t>Rahul Palkar</t>
  </si>
  <si>
    <t>V027RRP</t>
  </si>
  <si>
    <t>v027rrp@cathaypacific.com</t>
  </si>
  <si>
    <t>Raj Raut</t>
  </si>
  <si>
    <t>V027RRR</t>
  </si>
  <si>
    <t>v027rrr@cathaypacific.com</t>
  </si>
  <si>
    <t xml:space="preserve">Rajendra Gautam </t>
  </si>
  <si>
    <t>CPPRRG</t>
  </si>
  <si>
    <t>rajendra_gautam@cathaypacific.com</t>
  </si>
  <si>
    <t>Rajendra Ugade</t>
  </si>
  <si>
    <t>V027RAU</t>
  </si>
  <si>
    <t>v027rau@cathaypacific.com</t>
  </si>
  <si>
    <t>Rajesh Kahar</t>
  </si>
  <si>
    <t>V027RJK</t>
  </si>
  <si>
    <t>V027RJK@cathaypacific.com</t>
  </si>
  <si>
    <t>Rajesh Kotian</t>
  </si>
  <si>
    <t>CPPRAK</t>
  </si>
  <si>
    <t>rajesh_kotian@cathaypacific.com</t>
  </si>
  <si>
    <t>Rajesh Singh</t>
  </si>
  <si>
    <t>V027RAS</t>
  </si>
  <si>
    <t>V027RAS@cathaypacific.com</t>
  </si>
  <si>
    <t>Raju Yadav</t>
  </si>
  <si>
    <t>V027RRY</t>
  </si>
  <si>
    <t>raju_yadav@cathaypacific.com</t>
  </si>
  <si>
    <t>Ramanathan Iyer</t>
  </si>
  <si>
    <t>CPPIYR</t>
  </si>
  <si>
    <t>ramanathan_iyer@cathaypacific.com</t>
  </si>
  <si>
    <t>Ramchandran Kannan</t>
  </si>
  <si>
    <t>V027RAK</t>
  </si>
  <si>
    <t>V027RAK@cathaypacific.com</t>
  </si>
  <si>
    <t>Ravindra Patil</t>
  </si>
  <si>
    <t>CPPRAVP</t>
  </si>
  <si>
    <t>ravindra_patil@cathaypacific.com</t>
  </si>
  <si>
    <t>Reshma Chavan</t>
  </si>
  <si>
    <t>V027RRC</t>
  </si>
  <si>
    <t>v027rrc@cathaypacific.com</t>
  </si>
  <si>
    <t>Ritu Montero</t>
  </si>
  <si>
    <t>V027RRM</t>
  </si>
  <si>
    <t>v027rrm@cathaypacific.com</t>
  </si>
  <si>
    <t>Robin Thomas</t>
  </si>
  <si>
    <t>V027ROT</t>
  </si>
  <si>
    <t>V027ROT@cathaypacific.com</t>
  </si>
  <si>
    <t>Rodrigues Swapnil</t>
  </si>
  <si>
    <t>CPPSWAR</t>
  </si>
  <si>
    <t>swapnil_rodrigues@cathaypacific.com</t>
  </si>
  <si>
    <t>Rohan Kalambe</t>
  </si>
  <si>
    <t>V027RK</t>
  </si>
  <si>
    <t>V027RK@cathaypacific.com</t>
  </si>
  <si>
    <t>Rohan Lopes</t>
  </si>
  <si>
    <t>CPPRLOO</t>
  </si>
  <si>
    <t>rohan_lopes@cathaypacific.com</t>
  </si>
  <si>
    <t>Rohit Mainkar</t>
  </si>
  <si>
    <t>V027ROM</t>
  </si>
  <si>
    <t>V027ROM@cathaypacific.com</t>
  </si>
  <si>
    <t>Roshani Patole</t>
  </si>
  <si>
    <t>V027PRR</t>
  </si>
  <si>
    <t>V027PRR@cathaypacific.com</t>
  </si>
  <si>
    <t>Ruchira Mest</t>
  </si>
  <si>
    <t>V027RUM</t>
  </si>
  <si>
    <t>v027rum@cathaypacific.com</t>
  </si>
  <si>
    <t>Rupali Pardeshi</t>
  </si>
  <si>
    <t>CPPRUP</t>
  </si>
  <si>
    <t>rupali_paradeshi@cathaypacific.com</t>
  </si>
  <si>
    <t xml:space="preserve">Rupali Pawar </t>
  </si>
  <si>
    <t>V027RUP</t>
  </si>
  <si>
    <t>V027RUP@cathaypacific.com</t>
  </si>
  <si>
    <t>Rutika Dubal</t>
  </si>
  <si>
    <t>V027RUD</t>
  </si>
  <si>
    <t>V027RUD@cathaypacific.com</t>
  </si>
  <si>
    <t xml:space="preserve">Sachin Bangera </t>
  </si>
  <si>
    <t>CPPSACB</t>
  </si>
  <si>
    <t>Sachin_Bangera@cathaypacific.com</t>
  </si>
  <si>
    <t>Sachin Dafle</t>
  </si>
  <si>
    <t>V027SSD</t>
  </si>
  <si>
    <t>v027ssd@cathaypacific.com</t>
  </si>
  <si>
    <t>Sachin Gaikwad</t>
  </si>
  <si>
    <t>V027SSW</t>
  </si>
  <si>
    <t>V027SSW@cathaypacific.com</t>
  </si>
  <si>
    <t>Sachin Mali</t>
  </si>
  <si>
    <t>V027SASM</t>
  </si>
  <si>
    <t>v027sasm@cathaypacific.com</t>
  </si>
  <si>
    <t>Sachin Nishad</t>
  </si>
  <si>
    <t>V027SSM</t>
  </si>
  <si>
    <t>V027SSM@cathaypacific.com</t>
  </si>
  <si>
    <t>Sachin Pawshe</t>
  </si>
  <si>
    <t>V027PAS</t>
  </si>
  <si>
    <t>V027PAS@cathaypacific.com</t>
  </si>
  <si>
    <t>Sadaf Husain Shaikh</t>
  </si>
  <si>
    <t>V027SSS</t>
  </si>
  <si>
    <t>V027SSS@cathaypacific.com</t>
  </si>
  <si>
    <t>Sagar Jagzap</t>
  </si>
  <si>
    <t>V027SSJ</t>
  </si>
  <si>
    <t>v027ssj@cathaypacific.com</t>
  </si>
  <si>
    <t>Sagar Kosambi</t>
  </si>
  <si>
    <t>CPPSAGK</t>
  </si>
  <si>
    <t>sagar_kosambi@cathaypacific.com</t>
  </si>
  <si>
    <t xml:space="preserve">Sagar Purat </t>
  </si>
  <si>
    <t>V027PUS</t>
  </si>
  <si>
    <t>V027PUS@cathaypacific.com</t>
  </si>
  <si>
    <t>Sagar Shedge</t>
  </si>
  <si>
    <t>CPPSASE</t>
  </si>
  <si>
    <t>sagar_shedge@cathaypacific.com</t>
  </si>
  <si>
    <t>Sammy Almeida</t>
  </si>
  <si>
    <t>V027SAA</t>
  </si>
  <si>
    <t>sammy_almeida@cathaypacific.com</t>
  </si>
  <si>
    <t>Sandeep Mane</t>
  </si>
  <si>
    <t>CPPSAND</t>
  </si>
  <si>
    <t>sandeep_mane@cathaypacific.com</t>
  </si>
  <si>
    <t>Sandeep Pandhare</t>
  </si>
  <si>
    <t>V027SAP</t>
  </si>
  <si>
    <t>V027SAP@cathaypacific.com</t>
  </si>
  <si>
    <t>Sangeeta Kotian</t>
  </si>
  <si>
    <t>CPPSKO</t>
  </si>
  <si>
    <t>Sangeeta_Kotian@cathaypacific.com</t>
  </si>
  <si>
    <t>Sangpal Bagul</t>
  </si>
  <si>
    <t>V027SAB</t>
  </si>
  <si>
    <t>sangpal_bagul@cathaypacific.com</t>
  </si>
  <si>
    <t xml:space="preserve">Sangram Pawar </t>
  </si>
  <si>
    <t>V027SAW</t>
  </si>
  <si>
    <t>v027saw@cathaypacific.com</t>
  </si>
  <si>
    <t>Sanket Kasle</t>
  </si>
  <si>
    <t>V027SKK</t>
  </si>
  <si>
    <t>sanket_kasle@cathaypacific.com</t>
  </si>
  <si>
    <t>Santosh Jadhav</t>
  </si>
  <si>
    <t>CPPJAVSH</t>
  </si>
  <si>
    <t>santosh_jadhav@cathaypacific.com</t>
  </si>
  <si>
    <t>Santosh Kamath</t>
  </si>
  <si>
    <t>CPPSKAM</t>
  </si>
  <si>
    <t>santosh_kamath@cathaypacific.com</t>
  </si>
  <si>
    <t>Sarfaraz Ansari</t>
  </si>
  <si>
    <t>V027ANS</t>
  </si>
  <si>
    <t>V027ANS@cathaypacific.com</t>
  </si>
  <si>
    <t xml:space="preserve">Satish Jadhav </t>
  </si>
  <si>
    <t>CPPSATJ</t>
  </si>
  <si>
    <t>Satish_Jadhav@cathaypacific.com</t>
  </si>
  <si>
    <t>Sayali Barhat</t>
  </si>
  <si>
    <t>V027SSB</t>
  </si>
  <si>
    <t>V027SSB@cathaypacific.com</t>
  </si>
  <si>
    <t>Seema Solanki</t>
  </si>
  <si>
    <t>V027SES</t>
  </si>
  <si>
    <t>V027SES@cathaypacific.com</t>
  </si>
  <si>
    <t>Shagufta Retiwala</t>
  </si>
  <si>
    <t>V027SSR</t>
  </si>
  <si>
    <t>v027ssr@cathaypacific.com</t>
  </si>
  <si>
    <t>Shailesh Parab</t>
  </si>
  <si>
    <t>V027SHP</t>
  </si>
  <si>
    <t>V027SHP@cathaypacific.com</t>
  </si>
  <si>
    <t>Shams Pawaskar</t>
  </si>
  <si>
    <t>V027SPA</t>
  </si>
  <si>
    <t>v027spa@cathaypacific.com</t>
  </si>
  <si>
    <t>Shankar Achari</t>
  </si>
  <si>
    <t>CPPSHA</t>
  </si>
  <si>
    <t>shankar_achari@cathaypacific.com</t>
  </si>
  <si>
    <t>Sharon Thomas</t>
  </si>
  <si>
    <t>CPPSHT</t>
  </si>
  <si>
    <t>sharon_thomas@cathaypacific.com</t>
  </si>
  <si>
    <t>Shashank Jadhav</t>
  </si>
  <si>
    <t>CPPSHJ</t>
  </si>
  <si>
    <t>shashank_jadhav@cathaypacific.com</t>
  </si>
  <si>
    <t>Shaziya Sayeed</t>
  </si>
  <si>
    <t>CPPSAYS</t>
  </si>
  <si>
    <t>shaziya_sayeed@cathaypacific.com</t>
  </si>
  <si>
    <t>Sheldon Nogueira</t>
  </si>
  <si>
    <t>V027SHN</t>
  </si>
  <si>
    <t>v027shn@cathaypacific.com</t>
  </si>
  <si>
    <t>Shikha Bhattacharya</t>
  </si>
  <si>
    <t>CPPBSH</t>
  </si>
  <si>
    <t>shikha_bhattacharya@cathaypacific.com</t>
  </si>
  <si>
    <t>Shishir Pabrekar</t>
  </si>
  <si>
    <t>CPPSHIP</t>
  </si>
  <si>
    <t>shishir_pabrekar@cathaypacific.com</t>
  </si>
  <si>
    <t>Shravan Acharya</t>
  </si>
  <si>
    <t>V027SHA</t>
  </si>
  <si>
    <t>V027SHA@cathaypacific.com</t>
  </si>
  <si>
    <t>Shrunal Nangare</t>
  </si>
  <si>
    <t>V027SSN</t>
  </si>
  <si>
    <t>shrunal_nangare@cathaypacific.com</t>
  </si>
  <si>
    <t>Shweta Lokhande</t>
  </si>
  <si>
    <t>V027SSL</t>
  </si>
  <si>
    <t>v027ssl@cathaypacific.com</t>
  </si>
  <si>
    <t>Shweta Sawant</t>
  </si>
  <si>
    <t>V027SHW</t>
  </si>
  <si>
    <t>V027SHW@cathaypacific.com</t>
  </si>
  <si>
    <t xml:space="preserve">Shyamal Gaonkar </t>
  </si>
  <si>
    <t>V027SHG</t>
  </si>
  <si>
    <t>V027SHG@cathaypacific.com</t>
  </si>
  <si>
    <t>Snehal Patil</t>
  </si>
  <si>
    <t>CPPSNSP</t>
  </si>
  <si>
    <t>snehal_patil@cathaypacific.com</t>
  </si>
  <si>
    <t>Sonal Gonsalves</t>
  </si>
  <si>
    <t>CPPSONG</t>
  </si>
  <si>
    <t>sonal_ghosal@cathaypacific.com</t>
  </si>
  <si>
    <t>Sonalee Korgaonkar</t>
  </si>
  <si>
    <t>V027SOK</t>
  </si>
  <si>
    <t>V027SOK@cathaypacific.com</t>
  </si>
  <si>
    <t xml:space="preserve">Sonali Haraskar </t>
  </si>
  <si>
    <t>V027SSH</t>
  </si>
  <si>
    <t>V027SSH@cathaypacific.com</t>
  </si>
  <si>
    <t>Sruthi Pallayil</t>
  </si>
  <si>
    <t>CPPSHRS</t>
  </si>
  <si>
    <t>shruti_sashidhar@cathaypacific.com</t>
  </si>
  <si>
    <t>Stany Gomes</t>
  </si>
  <si>
    <t>CPPSTSG</t>
  </si>
  <si>
    <t>stany_gomes@cathaypacific.com</t>
  </si>
  <si>
    <t>Suchita Chandorkar</t>
  </si>
  <si>
    <t>V027SSC</t>
  </si>
  <si>
    <t>suchita_chandorkar@cathaypacific.com</t>
  </si>
  <si>
    <t>Sudhir Gauda</t>
  </si>
  <si>
    <t>V027SUG</t>
  </si>
  <si>
    <t>V027SUG@cathaypacific.com</t>
  </si>
  <si>
    <t>Suhel Khan</t>
  </si>
  <si>
    <t>CPPKHEL</t>
  </si>
  <si>
    <t>suhel_khan@cathaypacific.com</t>
  </si>
  <si>
    <t>Sujata Dhanapgol</t>
  </si>
  <si>
    <t>CPPSUD</t>
  </si>
  <si>
    <t>sujata_dhanapgol@cathaypacific.com</t>
  </si>
  <si>
    <t xml:space="preserve">Sumit Patil </t>
  </si>
  <si>
    <t>V027SUP</t>
  </si>
  <si>
    <t>V027SUP@cathaypacific.com</t>
  </si>
  <si>
    <t>Sumit Todankar</t>
  </si>
  <si>
    <t>V027SUT</t>
  </si>
  <si>
    <t>V027SUT@cathaypacific.com</t>
  </si>
  <si>
    <t xml:space="preserve">Sunil Bhosale </t>
  </si>
  <si>
    <t>CPPBSS</t>
  </si>
  <si>
    <t>sunil_bhosale@cathaypacific.com</t>
  </si>
  <si>
    <t>Sunil Pevekar</t>
  </si>
  <si>
    <t>CPPSUNP</t>
  </si>
  <si>
    <t>sunil_pevekar@cathaypacific.com</t>
  </si>
  <si>
    <t>Supriya Hate</t>
  </si>
  <si>
    <t>CPPSUHA</t>
  </si>
  <si>
    <t>supr_sh_hate@cathaypacific.com</t>
  </si>
  <si>
    <t>Suraraj Patil</t>
  </si>
  <si>
    <t>CPPSUPL</t>
  </si>
  <si>
    <t>suraraj_patil@cathaypacific.com</t>
  </si>
  <si>
    <t>Sushant Patkar</t>
  </si>
  <si>
    <t>V027SSP</t>
  </si>
  <si>
    <t>v027ssp@cathaypacific.com</t>
  </si>
  <si>
    <t>Sushil Ghorpade</t>
  </si>
  <si>
    <t>CPPSUSR</t>
  </si>
  <si>
    <t>sushil_ghorpade@cathaypacific.com</t>
  </si>
  <si>
    <t>Swapnil Rahate</t>
  </si>
  <si>
    <t>CPPSWRE</t>
  </si>
  <si>
    <t>swapnil_rahate@cathaypacific.com</t>
  </si>
  <si>
    <t xml:space="preserve">Swasti Pednekar </t>
  </si>
  <si>
    <t>V027SWP</t>
  </si>
  <si>
    <t>V027SWP@cathaypacific.com</t>
  </si>
  <si>
    <t>Swati Saravade</t>
  </si>
  <si>
    <t>CPPSWS</t>
  </si>
  <si>
    <t>swati_saravade@cathaypacific.com</t>
  </si>
  <si>
    <t>Swati Yadav</t>
  </si>
  <si>
    <t>V027SSY</t>
  </si>
  <si>
    <t>V027SSY@cathaypacific.com</t>
  </si>
  <si>
    <t>Sweetan Bhandu</t>
  </si>
  <si>
    <t>CPPSWTB</t>
  </si>
  <si>
    <t>sweetan_bhandu@cathaypacific.com</t>
  </si>
  <si>
    <t xml:space="preserve">Tanmeet Kaur Rathod </t>
  </si>
  <si>
    <t>V027TKR</t>
  </si>
  <si>
    <t>V027TKR@cathaypacific.com</t>
  </si>
  <si>
    <t>Tanvi Ranwala</t>
  </si>
  <si>
    <t>CPPRTT</t>
  </si>
  <si>
    <t>tanvi_ranwala@cathaypacific.com</t>
  </si>
  <si>
    <t>Taruna Lalkaka</t>
  </si>
  <si>
    <t>V027TTL</t>
  </si>
  <si>
    <t>V027TTL@cathaypacific.com</t>
  </si>
  <si>
    <t xml:space="preserve">Tejal Salunke </t>
  </si>
  <si>
    <t>V027SAT</t>
  </si>
  <si>
    <t>V027SAT@cathaypacific.com</t>
  </si>
  <si>
    <t>Tejas Vanjari</t>
  </si>
  <si>
    <t>V027TTV</t>
  </si>
  <si>
    <t>v027ttv@cathaypacific.com</t>
  </si>
  <si>
    <t>Tejinder Kaur Channa</t>
  </si>
  <si>
    <t>V027TEK</t>
  </si>
  <si>
    <t>v027tek@cathaypacific.com</t>
  </si>
  <si>
    <t>Trupti Chavan</t>
  </si>
  <si>
    <t>V027TTC</t>
  </si>
  <si>
    <t>trupti_chavan@cathaypacific.com</t>
  </si>
  <si>
    <t>Tushar Ghodke</t>
  </si>
  <si>
    <t>CPPTUG</t>
  </si>
  <si>
    <t>tushar_ghodke@cathaypacific.com</t>
  </si>
  <si>
    <t>Vaibhav Asolkar</t>
  </si>
  <si>
    <t>V027CCS</t>
  </si>
  <si>
    <t>V027CCS@cathaypacific.com</t>
  </si>
  <si>
    <t>Vaibhavi Atale</t>
  </si>
  <si>
    <t>V027VAA</t>
  </si>
  <si>
    <t>V027VAA@cathaypacific.com</t>
  </si>
  <si>
    <t>Vanessa D'lima</t>
  </si>
  <si>
    <t>CPPVAD</t>
  </si>
  <si>
    <t>vanessa_dlima@cathaypacific.com</t>
  </si>
  <si>
    <t>Vibhavari Khandekar</t>
  </si>
  <si>
    <t>CPPVIBK</t>
  </si>
  <si>
    <t>vibhavari_khandekar@cathaypacific.com</t>
  </si>
  <si>
    <t>Vidya Kadam</t>
  </si>
  <si>
    <t>CPPVIDK</t>
  </si>
  <si>
    <t>vidya_kadam@cathaypacific.com</t>
  </si>
  <si>
    <t>Vikram Lohar</t>
  </si>
  <si>
    <t>V027VIL</t>
  </si>
  <si>
    <t>V027VIL@cathaypacific.com</t>
  </si>
  <si>
    <t>Vinay Thokle</t>
  </si>
  <si>
    <t>V027VIT</t>
  </si>
  <si>
    <t>V027VIT@cathaypacific.com</t>
  </si>
  <si>
    <t xml:space="preserve">Vinayak Vahindekar </t>
  </si>
  <si>
    <t>V027VIV</t>
  </si>
  <si>
    <t>v027viv@cathaypacific.com</t>
  </si>
  <si>
    <t>Vindhya Singh</t>
  </si>
  <si>
    <t>CPPVVS</t>
  </si>
  <si>
    <t>vindhya_singh@cathaypacific.com</t>
  </si>
  <si>
    <t>Vinod Menon</t>
  </si>
  <si>
    <t>CPPVIM</t>
  </si>
  <si>
    <t>vinod_menon@cathaypacific.com</t>
  </si>
  <si>
    <t>Vinod Patel</t>
  </si>
  <si>
    <t>V027PAV</t>
  </si>
  <si>
    <t>V027PAV@cathaypacific.com</t>
  </si>
  <si>
    <t>Violet D'Souza</t>
  </si>
  <si>
    <t>CPPVIOD</t>
  </si>
  <si>
    <t>violet_dsouza@cathaypacific.com</t>
  </si>
  <si>
    <t>Vishal Khira</t>
  </si>
  <si>
    <t>V027VIK</t>
  </si>
  <si>
    <t>v027vik@cathaypacific.com</t>
  </si>
  <si>
    <t>Yasin Shaikh</t>
  </si>
  <si>
    <t>V027YAS</t>
  </si>
  <si>
    <t>V027YAS@cathaypacific.com</t>
  </si>
  <si>
    <t>Yogesh Desai</t>
  </si>
  <si>
    <t>V027YOD</t>
  </si>
  <si>
    <t>yogesh_desai@cathaypacific.com</t>
  </si>
  <si>
    <t>Yogesh Gaikwad</t>
  </si>
  <si>
    <t>CPPYOG</t>
  </si>
  <si>
    <t>yogesh_gaikwad@cathaypacific.com</t>
  </si>
  <si>
    <t>Zaheer Patel</t>
  </si>
  <si>
    <t>V027ZZP</t>
  </si>
  <si>
    <t>zaheer_patel@cathaypacific.com</t>
  </si>
  <si>
    <t>Zarine Rana</t>
  </si>
  <si>
    <t>V027ZZR</t>
  </si>
  <si>
    <t>v027zzr@cathaypacific.com</t>
  </si>
  <si>
    <t>Zayyan Malvi</t>
  </si>
  <si>
    <t>V027ZZM</t>
  </si>
  <si>
    <t>V027ZZM@cathaypacific.com</t>
  </si>
  <si>
    <t>Zubin Sidhwa</t>
  </si>
  <si>
    <t>V027ZZS</t>
  </si>
  <si>
    <t>V027ZZS@cathaypacific.com</t>
  </si>
  <si>
    <t>Pooja Mundekar</t>
  </si>
  <si>
    <t>V027POM</t>
  </si>
  <si>
    <t>v027pom@cathaypacific.com</t>
  </si>
  <si>
    <t>Muriel Dcosta</t>
  </si>
  <si>
    <t>V027MUD</t>
  </si>
  <si>
    <t>V027MUD@cathaypacific.com</t>
  </si>
  <si>
    <t>Dinesh Gaikwad</t>
  </si>
  <si>
    <t>V027VDIG</t>
  </si>
  <si>
    <t>V027DIG@cathaypacific.com</t>
  </si>
  <si>
    <t>Harshada Sawant</t>
  </si>
  <si>
    <t>V027HAS</t>
  </si>
  <si>
    <t>V027HAS@cathaypacific.com</t>
  </si>
  <si>
    <t>Mayuri Kadam</t>
  </si>
  <si>
    <t>V027KAM</t>
  </si>
  <si>
    <t>V027KAM@cathaypacific.com</t>
  </si>
  <si>
    <t>Aman Potrick</t>
  </si>
  <si>
    <t>V027POA</t>
  </si>
  <si>
    <t>v027poa@cathaypacific.com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</si>
</sst>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14" fontId="2" fillId="0" borderId="4" xfId="0" applyNumberFormat="1" applyFont="1" applyFill="1" applyBorder="1" applyAlignment="1">
      <alignment horizontal="center" vertical="center"/>
    </xf>
    <xf numFmtId="14" fontId="2" fillId="0" borderId="3" xfId="0" applyNumberFormat="1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14" fontId="3" fillId="0" borderId="4" xfId="0" applyNumberFormat="1" applyFont="1" applyFill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4" xfId="1" applyFont="1" applyFill="1" applyBorder="1" applyAlignment="1">
      <alignment vertical="center"/>
    </xf>
    <xf numFmtId="0" fontId="2" fillId="0" borderId="4" xfId="0" applyFont="1" applyFill="1" applyBorder="1" applyAlignment="1">
      <alignment vertical="center" wrapText="1"/>
    </xf>
    <xf numFmtId="0" fontId="2" fillId="0" borderId="4" xfId="1" applyFont="1" applyFill="1" applyBorder="1" applyAlignment="1">
      <alignment vertical="center" wrapText="1"/>
    </xf>
    <xf numFmtId="14" fontId="2" fillId="0" borderId="4" xfId="0" applyNumberFormat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yashashree_manjrekar@cathaypacific.com" TargetMode="External"/><Relationship Id="rId21" Type="http://schemas.openxmlformats.org/officeDocument/2006/relationships/hyperlink" Target="mailto:anita_rathod@cathaypacific.com" TargetMode="External"/><Relationship Id="rId63" Type="http://schemas.openxmlformats.org/officeDocument/2006/relationships/hyperlink" Target="mailto:mah_mm_modak@cathaypacific.com" TargetMode="External"/><Relationship Id="rId159" Type="http://schemas.openxmlformats.org/officeDocument/2006/relationships/hyperlink" Target="mailto:V027ANPanp@cathaypacific.com" TargetMode="External"/><Relationship Id="rId170" Type="http://schemas.openxmlformats.org/officeDocument/2006/relationships/hyperlink" Target="mailto:v027ppg@cathaypacific.com" TargetMode="External"/><Relationship Id="rId226" Type="http://schemas.openxmlformats.org/officeDocument/2006/relationships/hyperlink" Target="mailto:v027ddd@cathaypacific.com" TargetMode="External"/><Relationship Id="rId107" Type="http://schemas.openxmlformats.org/officeDocument/2006/relationships/hyperlink" Target="mailto:V027DES@cathaypacific.com" TargetMode="External"/><Relationship Id="rId11" Type="http://schemas.openxmlformats.org/officeDocument/2006/relationships/hyperlink" Target="mailto:laxmi_naidu@cathaypacific.com" TargetMode="External"/><Relationship Id="rId32" Type="http://schemas.openxmlformats.org/officeDocument/2006/relationships/hyperlink" Target="mailto:minal_potphode@cathaypacific.com" TargetMode="External"/><Relationship Id="rId53" Type="http://schemas.openxmlformats.org/officeDocument/2006/relationships/hyperlink" Target="mailto:V027DDC@cathaypacific.com" TargetMode="External"/><Relationship Id="rId74" Type="http://schemas.openxmlformats.org/officeDocument/2006/relationships/hyperlink" Target="mailto:V027RAS@cathaypacific.com" TargetMode="External"/><Relationship Id="rId128" Type="http://schemas.openxmlformats.org/officeDocument/2006/relationships/hyperlink" Target="mailto:V027PRP@cathaypacific.com" TargetMode="External"/><Relationship Id="rId149" Type="http://schemas.openxmlformats.org/officeDocument/2006/relationships/hyperlink" Target="mailto:suhel_khan@cathaypacific.com" TargetMode="External"/><Relationship Id="rId5" Type="http://schemas.openxmlformats.org/officeDocument/2006/relationships/hyperlink" Target="mailto:V027RAG@cathaypacific.com" TargetMode="External"/><Relationship Id="rId95" Type="http://schemas.openxmlformats.org/officeDocument/2006/relationships/hyperlink" Target="mailto:amarjit_yadav@cathaypacific.com" TargetMode="External"/><Relationship Id="rId160" Type="http://schemas.openxmlformats.org/officeDocument/2006/relationships/hyperlink" Target="mailto:flavina_fernandes@cathaypacific.com" TargetMode="External"/><Relationship Id="rId181" Type="http://schemas.openxmlformats.org/officeDocument/2006/relationships/hyperlink" Target="mailto:v027dus@cathaypacific.com" TargetMode="External"/><Relationship Id="rId216" Type="http://schemas.openxmlformats.org/officeDocument/2006/relationships/hyperlink" Target="mailto:V027SSB@cathaypacific.com" TargetMode="External"/><Relationship Id="rId237" Type="http://schemas.openxmlformats.org/officeDocument/2006/relationships/hyperlink" Target="mailto:V027ASJ@cathaypacific.com" TargetMode="External"/><Relationship Id="rId258" Type="http://schemas.openxmlformats.org/officeDocument/2006/relationships/hyperlink" Target="mailto:V027ASD@cathaypacific.com" TargetMode="External"/><Relationship Id="rId22" Type="http://schemas.openxmlformats.org/officeDocument/2006/relationships/hyperlink" Target="mailto:v027hds@cathaypacific.com" TargetMode="External"/><Relationship Id="rId43" Type="http://schemas.openxmlformats.org/officeDocument/2006/relationships/hyperlink" Target="mailto:V027ANK@cathaypacific.com" TargetMode="External"/><Relationship Id="rId64" Type="http://schemas.openxmlformats.org/officeDocument/2006/relationships/hyperlink" Target="mailto:V027MOB@cathaypacific.com" TargetMode="External"/><Relationship Id="rId118" Type="http://schemas.openxmlformats.org/officeDocument/2006/relationships/hyperlink" Target="mailto:manoj_nimse@cathaypacific.com" TargetMode="External"/><Relationship Id="rId139" Type="http://schemas.openxmlformats.org/officeDocument/2006/relationships/hyperlink" Target="mailto:santosh_jadhav@cathaypacific.com" TargetMode="External"/><Relationship Id="rId85" Type="http://schemas.openxmlformats.org/officeDocument/2006/relationships/hyperlink" Target="mailto:V027SAT@cathaypacific.com" TargetMode="External"/><Relationship Id="rId150" Type="http://schemas.openxmlformats.org/officeDocument/2006/relationships/hyperlink" Target="mailto:V027SUT@cathaypacific.com" TargetMode="External"/><Relationship Id="rId171" Type="http://schemas.openxmlformats.org/officeDocument/2006/relationships/hyperlink" Target="mailto:v027rau@cathaypacific.com" TargetMode="External"/><Relationship Id="rId192" Type="http://schemas.openxmlformats.org/officeDocument/2006/relationships/hyperlink" Target="mailto:v027ppk@cathaypacific.com" TargetMode="External"/><Relationship Id="rId206" Type="http://schemas.openxmlformats.org/officeDocument/2006/relationships/hyperlink" Target="mailto:aarti_sehgal@cathaypacific.com" TargetMode="External"/><Relationship Id="rId227" Type="http://schemas.openxmlformats.org/officeDocument/2006/relationships/hyperlink" Target="mailto:v027aks@cathaypacific.com" TargetMode="External"/><Relationship Id="rId248" Type="http://schemas.openxmlformats.org/officeDocument/2006/relationships/hyperlink" Target="mailto:V027PRA@cathaypacific.com" TargetMode="External"/><Relationship Id="rId12" Type="http://schemas.openxmlformats.org/officeDocument/2006/relationships/hyperlink" Target="mailto:nitesh_poojary@cathaypacific.com" TargetMode="External"/><Relationship Id="rId33" Type="http://schemas.openxmlformats.org/officeDocument/2006/relationships/hyperlink" Target="mailto:muriel_braz@cathaypacific.com" TargetMode="External"/><Relationship Id="rId108" Type="http://schemas.openxmlformats.org/officeDocument/2006/relationships/hyperlink" Target="mailto:v027ddk@cathaypacific.com" TargetMode="External"/><Relationship Id="rId129" Type="http://schemas.openxmlformats.org/officeDocument/2006/relationships/hyperlink" Target="mailto:preeti_tejani@cathaypacific.com" TargetMode="External"/><Relationship Id="rId54" Type="http://schemas.openxmlformats.org/officeDocument/2006/relationships/hyperlink" Target="mailto:dinesh_gopale@cathaypacific.com" TargetMode="External"/><Relationship Id="rId75" Type="http://schemas.openxmlformats.org/officeDocument/2006/relationships/hyperlink" Target="mailto:V027SSW@cathaypacific.com" TargetMode="External"/><Relationship Id="rId96" Type="http://schemas.openxmlformats.org/officeDocument/2006/relationships/hyperlink" Target="mailto:amey_kale@cathaypacific.com" TargetMode="External"/><Relationship Id="rId140" Type="http://schemas.openxmlformats.org/officeDocument/2006/relationships/hyperlink" Target="mailto:V027ANS@cathaypacific.com" TargetMode="External"/><Relationship Id="rId161" Type="http://schemas.openxmlformats.org/officeDocument/2006/relationships/hyperlink" Target="mailto:harshada_ghate@cathaypacific.com" TargetMode="External"/><Relationship Id="rId182" Type="http://schemas.openxmlformats.org/officeDocument/2006/relationships/hyperlink" Target="mailto:V027FAS@cathaypacific.com" TargetMode="External"/><Relationship Id="rId217" Type="http://schemas.openxmlformats.org/officeDocument/2006/relationships/hyperlink" Target="mailto:tanvi_ranwala@cathaypacific.com" TargetMode="External"/><Relationship Id="rId6" Type="http://schemas.openxmlformats.org/officeDocument/2006/relationships/hyperlink" Target="mailto:V027AAS@cathaypacific.com" TargetMode="External"/><Relationship Id="rId238" Type="http://schemas.openxmlformats.org/officeDocument/2006/relationships/hyperlink" Target="mailto:V027BDS@cathaypacific.com" TargetMode="External"/><Relationship Id="rId259" Type="http://schemas.openxmlformats.org/officeDocument/2006/relationships/hyperlink" Target="mailto:v027mfd@cathaypacific.com" TargetMode="External"/><Relationship Id="rId23" Type="http://schemas.openxmlformats.org/officeDocument/2006/relationships/hyperlink" Target="mailto:kanchan_surve@cathaypacific.com" TargetMode="External"/><Relationship Id="rId119" Type="http://schemas.openxmlformats.org/officeDocument/2006/relationships/hyperlink" Target="mailto:manoj_patil@cathaypacific.com" TargetMode="External"/><Relationship Id="rId44" Type="http://schemas.openxmlformats.org/officeDocument/2006/relationships/hyperlink" Target="mailto:V027AAB@cathaypacific.com" TargetMode="External"/><Relationship Id="rId65" Type="http://schemas.openxmlformats.org/officeDocument/2006/relationships/hyperlink" Target="mailto:v027mms@cathaypacific.com" TargetMode="External"/><Relationship Id="rId86" Type="http://schemas.openxmlformats.org/officeDocument/2006/relationships/hyperlink" Target="mailto:V027CCS@cathaypacific.com" TargetMode="External"/><Relationship Id="rId130" Type="http://schemas.openxmlformats.org/officeDocument/2006/relationships/hyperlink" Target="mailto:rahul_agedkar@cathaypacific.com" TargetMode="External"/><Relationship Id="rId151" Type="http://schemas.openxmlformats.org/officeDocument/2006/relationships/hyperlink" Target="mailto:V027SWP@cathaypacific.com" TargetMode="External"/><Relationship Id="rId172" Type="http://schemas.openxmlformats.org/officeDocument/2006/relationships/hyperlink" Target="mailto:raju_yadav@cathaypacific.com" TargetMode="External"/><Relationship Id="rId193" Type="http://schemas.openxmlformats.org/officeDocument/2006/relationships/hyperlink" Target="mailto:V027PRS@cathaypacific.com" TargetMode="External"/><Relationship Id="rId207" Type="http://schemas.openxmlformats.org/officeDocument/2006/relationships/hyperlink" Target="mailto:ellery_mendonsa@cathaypacific.com" TargetMode="External"/><Relationship Id="rId228" Type="http://schemas.openxmlformats.org/officeDocument/2006/relationships/hyperlink" Target="mailto:v027cll@cathaypacific.com" TargetMode="External"/><Relationship Id="rId249" Type="http://schemas.openxmlformats.org/officeDocument/2006/relationships/hyperlink" Target="mailto:V027SSM@cathaypacific.com" TargetMode="External"/><Relationship Id="rId13" Type="http://schemas.openxmlformats.org/officeDocument/2006/relationships/hyperlink" Target="mailto:nitin_hangekar@cathaypacific.com" TargetMode="External"/><Relationship Id="rId109" Type="http://schemas.openxmlformats.org/officeDocument/2006/relationships/hyperlink" Target="mailto:V027GAS@cathaypacific.com" TargetMode="External"/><Relationship Id="rId260" Type="http://schemas.openxmlformats.org/officeDocument/2006/relationships/hyperlink" Target="mailto:nikita_godambe@cathaypacific.com" TargetMode="External"/><Relationship Id="rId34" Type="http://schemas.openxmlformats.org/officeDocument/2006/relationships/hyperlink" Target="mailto:CPPPRH@cathaypacific.com" TargetMode="External"/><Relationship Id="rId55" Type="http://schemas.openxmlformats.org/officeDocument/2006/relationships/hyperlink" Target="mailto:v027ffm@cathaypacific.com" TargetMode="External"/><Relationship Id="rId76" Type="http://schemas.openxmlformats.org/officeDocument/2006/relationships/hyperlink" Target="mailto:sagar_kosambi@cathaypacific.com" TargetMode="External"/><Relationship Id="rId97" Type="http://schemas.openxmlformats.org/officeDocument/2006/relationships/hyperlink" Target="mailto:V027ANJ@cathaypacific.com" TargetMode="External"/><Relationship Id="rId120" Type="http://schemas.openxmlformats.org/officeDocument/2006/relationships/hyperlink" Target="mailto:megha_zunjarrao@cathaypacific.com" TargetMode="External"/><Relationship Id="rId141" Type="http://schemas.openxmlformats.org/officeDocument/2006/relationships/hyperlink" Target="mailto:Satish_Jadhav@cathaypacific.com" TargetMode="External"/><Relationship Id="rId7" Type="http://schemas.openxmlformats.org/officeDocument/2006/relationships/hyperlink" Target="mailto:asifiqbal_matte@cathaypacific.com" TargetMode="External"/><Relationship Id="rId162" Type="http://schemas.openxmlformats.org/officeDocument/2006/relationships/hyperlink" Target="mailto:v027jjp@cathaypacific.com" TargetMode="External"/><Relationship Id="rId183" Type="http://schemas.openxmlformats.org/officeDocument/2006/relationships/hyperlink" Target="mailto:v027hhk@cathaypacific.com" TargetMode="External"/><Relationship Id="rId218" Type="http://schemas.openxmlformats.org/officeDocument/2006/relationships/hyperlink" Target="mailto:v027ttv@cathaypacific.com" TargetMode="External"/><Relationship Id="rId239" Type="http://schemas.openxmlformats.org/officeDocument/2006/relationships/hyperlink" Target="mailto:V027DDG@cathaypacific.com" TargetMode="External"/><Relationship Id="rId250" Type="http://schemas.openxmlformats.org/officeDocument/2006/relationships/hyperlink" Target="mailto:sandeep_mane@cathaypacific.com" TargetMode="External"/><Relationship Id="rId24" Type="http://schemas.openxmlformats.org/officeDocument/2006/relationships/hyperlink" Target="mailto:pushkar_pethe@cathaypacific.com" TargetMode="External"/><Relationship Id="rId45" Type="http://schemas.openxmlformats.org/officeDocument/2006/relationships/hyperlink" Target="mailto:V027AAG@cathaypacific.com" TargetMode="External"/><Relationship Id="rId66" Type="http://schemas.openxmlformats.org/officeDocument/2006/relationships/hyperlink" Target="mailto:V027MOM@cathaypacific.com" TargetMode="External"/><Relationship Id="rId87" Type="http://schemas.openxmlformats.org/officeDocument/2006/relationships/hyperlink" Target="mailto:V027VAA@cathaypacific.com" TargetMode="External"/><Relationship Id="rId110" Type="http://schemas.openxmlformats.org/officeDocument/2006/relationships/hyperlink" Target="mailto:hrishikesh_kelkar@cathaypacific.com" TargetMode="External"/><Relationship Id="rId131" Type="http://schemas.openxmlformats.org/officeDocument/2006/relationships/hyperlink" Target="mailto:V027ROT@cathaypacific.com" TargetMode="External"/><Relationship Id="rId152" Type="http://schemas.openxmlformats.org/officeDocument/2006/relationships/hyperlink" Target="mailto:sunil_bhosale@cathaypacific.com" TargetMode="External"/><Relationship Id="rId173" Type="http://schemas.openxmlformats.org/officeDocument/2006/relationships/hyperlink" Target="mailto:v027rrc@cathaypacific.com" TargetMode="External"/><Relationship Id="rId194" Type="http://schemas.openxmlformats.org/officeDocument/2006/relationships/hyperlink" Target="mailto:v027bph@cathaypacific.com" TargetMode="External"/><Relationship Id="rId208" Type="http://schemas.openxmlformats.org/officeDocument/2006/relationships/hyperlink" Target="mailto:V027HHS@cathaypacific.com" TargetMode="External"/><Relationship Id="rId229" Type="http://schemas.openxmlformats.org/officeDocument/2006/relationships/hyperlink" Target="mailto:v027dem@cathaypacific.com" TargetMode="External"/><Relationship Id="rId240" Type="http://schemas.openxmlformats.org/officeDocument/2006/relationships/hyperlink" Target="mailto:V027JAG@cathaypacific.com" TargetMode="External"/><Relationship Id="rId261" Type="http://schemas.openxmlformats.org/officeDocument/2006/relationships/hyperlink" Target="mailto:priyanka_nijap@cathaypacific.com" TargetMode="External"/><Relationship Id="rId14" Type="http://schemas.openxmlformats.org/officeDocument/2006/relationships/hyperlink" Target="mailto:v027prz@cathaypacific.com" TargetMode="External"/><Relationship Id="rId35" Type="http://schemas.openxmlformats.org/officeDocument/2006/relationships/hyperlink" Target="mailto:CPPPRIP@cathaypacific.com" TargetMode="External"/><Relationship Id="rId56" Type="http://schemas.openxmlformats.org/officeDocument/2006/relationships/hyperlink" Target="mailto:himanshu_shardule@cathaypacific.com" TargetMode="External"/><Relationship Id="rId77" Type="http://schemas.openxmlformats.org/officeDocument/2006/relationships/hyperlink" Target="mailto:V027PUS@cathaypacific.com" TargetMode="External"/><Relationship Id="rId100" Type="http://schemas.openxmlformats.org/officeDocument/2006/relationships/hyperlink" Target="mailto:V027AZS@cathaypacific.com" TargetMode="External"/><Relationship Id="rId8" Type="http://schemas.openxmlformats.org/officeDocument/2006/relationships/hyperlink" Target="mailto:V027CBA@cathaypacific.com" TargetMode="External"/><Relationship Id="rId98" Type="http://schemas.openxmlformats.org/officeDocument/2006/relationships/hyperlink" Target="mailto:ankit_jain@cathaypacific.com" TargetMode="External"/><Relationship Id="rId121" Type="http://schemas.openxmlformats.org/officeDocument/2006/relationships/hyperlink" Target="mailto:michael_joseph@cathaypacific.com" TargetMode="External"/><Relationship Id="rId142" Type="http://schemas.openxmlformats.org/officeDocument/2006/relationships/hyperlink" Target="mailto:sharon_thomas@cathaypacific.com" TargetMode="External"/><Relationship Id="rId163" Type="http://schemas.openxmlformats.org/officeDocument/2006/relationships/hyperlink" Target="mailto:V027JIS@cathaypacific.com" TargetMode="External"/><Relationship Id="rId184" Type="http://schemas.openxmlformats.org/officeDocument/2006/relationships/hyperlink" Target="mailto:v027jjk@cathaypacific.com" TargetMode="External"/><Relationship Id="rId219" Type="http://schemas.openxmlformats.org/officeDocument/2006/relationships/hyperlink" Target="mailto:yogesh_desai@cathaypacific.com" TargetMode="External"/><Relationship Id="rId230" Type="http://schemas.openxmlformats.org/officeDocument/2006/relationships/hyperlink" Target="mailto:V027BSS@cathaypacific.com" TargetMode="External"/><Relationship Id="rId251" Type="http://schemas.openxmlformats.org/officeDocument/2006/relationships/hyperlink" Target="mailto:Sangeeta_Kotian@cathaypacific.com" TargetMode="External"/><Relationship Id="rId25" Type="http://schemas.openxmlformats.org/officeDocument/2006/relationships/hyperlink" Target="mailto:ravindra_patil@cathaypacific.com" TargetMode="External"/><Relationship Id="rId46" Type="http://schemas.openxmlformats.org/officeDocument/2006/relationships/hyperlink" Target="mailto:azhar_mohammad@cathaypacific.com" TargetMode="External"/><Relationship Id="rId67" Type="http://schemas.openxmlformats.org/officeDocument/2006/relationships/hyperlink" Target="mailto:V027NHS@cathaypacific.com" TargetMode="External"/><Relationship Id="rId88" Type="http://schemas.openxmlformats.org/officeDocument/2006/relationships/hyperlink" Target="mailto:V027VIT@cathaypacific.com" TargetMode="External"/><Relationship Id="rId111" Type="http://schemas.openxmlformats.org/officeDocument/2006/relationships/hyperlink" Target="mailto:jayachandran_kurup@cathaypacific.com" TargetMode="External"/><Relationship Id="rId132" Type="http://schemas.openxmlformats.org/officeDocument/2006/relationships/hyperlink" Target="mailto:swapnil_rodrigues@cathaypacific.com" TargetMode="External"/><Relationship Id="rId153" Type="http://schemas.openxmlformats.org/officeDocument/2006/relationships/hyperlink" Target="mailto:vidya_kadam@cathaypacific.com" TargetMode="External"/><Relationship Id="rId174" Type="http://schemas.openxmlformats.org/officeDocument/2006/relationships/hyperlink" Target="mailto:v027rum@cathaypacific.com" TargetMode="External"/><Relationship Id="rId195" Type="http://schemas.openxmlformats.org/officeDocument/2006/relationships/hyperlink" Target="mailto:v027rrr@cathaypacific.com" TargetMode="External"/><Relationship Id="rId209" Type="http://schemas.openxmlformats.org/officeDocument/2006/relationships/hyperlink" Target="mailto:CPPJANS@cathaypacific.com" TargetMode="External"/><Relationship Id="rId220" Type="http://schemas.openxmlformats.org/officeDocument/2006/relationships/hyperlink" Target="mailto:yogesh_gaikwad@cathaypacific.com" TargetMode="External"/><Relationship Id="rId241" Type="http://schemas.openxmlformats.org/officeDocument/2006/relationships/hyperlink" Target="mailto:V027KEA@cathaypacific.com" TargetMode="External"/><Relationship Id="rId15" Type="http://schemas.openxmlformats.org/officeDocument/2006/relationships/hyperlink" Target="mailto:v027rrk@cathaypacific.com" TargetMode="External"/><Relationship Id="rId36" Type="http://schemas.openxmlformats.org/officeDocument/2006/relationships/hyperlink" Target="mailto:vindhya_singh@cathaypacific.com" TargetMode="External"/><Relationship Id="rId57" Type="http://schemas.openxmlformats.org/officeDocument/2006/relationships/hyperlink" Target="mailto:V027ISJ@cathaypacific.com" TargetMode="External"/><Relationship Id="rId262" Type="http://schemas.openxmlformats.org/officeDocument/2006/relationships/hyperlink" Target="mailto:v027ssr@cathaypacific.com" TargetMode="External"/><Relationship Id="rId78" Type="http://schemas.openxmlformats.org/officeDocument/2006/relationships/hyperlink" Target="mailto:sagar_shedge@cathaypacific.com" TargetMode="External"/><Relationship Id="rId99" Type="http://schemas.openxmlformats.org/officeDocument/2006/relationships/hyperlink" Target="mailto:apurva_hate@cathaypacific.com" TargetMode="External"/><Relationship Id="rId101" Type="http://schemas.openxmlformats.org/officeDocument/2006/relationships/hyperlink" Target="mailto:V027BHA@cathaypacific.com" TargetMode="External"/><Relationship Id="rId122" Type="http://schemas.openxmlformats.org/officeDocument/2006/relationships/hyperlink" Target="mailto:V027MIE@cathaypacific.com" TargetMode="External"/><Relationship Id="rId143" Type="http://schemas.openxmlformats.org/officeDocument/2006/relationships/hyperlink" Target="mailto:shashank_jadhav@cathaypacific.com" TargetMode="External"/><Relationship Id="rId164" Type="http://schemas.openxmlformats.org/officeDocument/2006/relationships/hyperlink" Target="mailto:v027jjw@cathaypacific.com" TargetMode="External"/><Relationship Id="rId185" Type="http://schemas.openxmlformats.org/officeDocument/2006/relationships/hyperlink" Target="mailto:v027kkw@cathaypacific.com" TargetMode="External"/><Relationship Id="rId9" Type="http://schemas.openxmlformats.org/officeDocument/2006/relationships/hyperlink" Target="mailto:V027CHB@cathaypacific.com" TargetMode="External"/><Relationship Id="rId210" Type="http://schemas.openxmlformats.org/officeDocument/2006/relationships/hyperlink" Target="mailto:ketan_hande@cathaypacific.com" TargetMode="External"/><Relationship Id="rId26" Type="http://schemas.openxmlformats.org/officeDocument/2006/relationships/hyperlink" Target="mailto:V027RUD@cathaypacific.com" TargetMode="External"/><Relationship Id="rId231" Type="http://schemas.openxmlformats.org/officeDocument/2006/relationships/hyperlink" Target="mailto:V027BBB@cathaypacific.com" TargetMode="External"/><Relationship Id="rId252" Type="http://schemas.openxmlformats.org/officeDocument/2006/relationships/hyperlink" Target="mailto:V027SHP@cathaypacific.com" TargetMode="External"/><Relationship Id="rId47" Type="http://schemas.openxmlformats.org/officeDocument/2006/relationships/hyperlink" Target="mailto:V027BHP@cathaypacific.com" TargetMode="External"/><Relationship Id="rId68" Type="http://schemas.openxmlformats.org/officeDocument/2006/relationships/hyperlink" Target="mailto:V027NBE@cathaypacific.com" TargetMode="External"/><Relationship Id="rId89" Type="http://schemas.openxmlformats.org/officeDocument/2006/relationships/hyperlink" Target="mailto:V027ZZM@cathaypacific.com" TargetMode="External"/><Relationship Id="rId112" Type="http://schemas.openxmlformats.org/officeDocument/2006/relationships/hyperlink" Target="mailto:jorlus_dbritto@cathaypacific.com" TargetMode="External"/><Relationship Id="rId133" Type="http://schemas.openxmlformats.org/officeDocument/2006/relationships/hyperlink" Target="mailto:V027ROM@cathaypacific.com" TargetMode="External"/><Relationship Id="rId154" Type="http://schemas.openxmlformats.org/officeDocument/2006/relationships/hyperlink" Target="mailto:vinod_menon@cathaypacific.com" TargetMode="External"/><Relationship Id="rId175" Type="http://schemas.openxmlformats.org/officeDocument/2006/relationships/hyperlink" Target="mailto:v027ssd@cathaypacific.com" TargetMode="External"/><Relationship Id="rId196" Type="http://schemas.openxmlformats.org/officeDocument/2006/relationships/hyperlink" Target="mailto:V027RAK@cathaypacific.com" TargetMode="External"/><Relationship Id="rId200" Type="http://schemas.openxmlformats.org/officeDocument/2006/relationships/hyperlink" Target="mailto:v027spa@cathaypacific.com" TargetMode="External"/><Relationship Id="rId16" Type="http://schemas.openxmlformats.org/officeDocument/2006/relationships/hyperlink" Target="mailto:v027rrp@cathaypacific.com" TargetMode="External"/><Relationship Id="rId221" Type="http://schemas.openxmlformats.org/officeDocument/2006/relationships/hyperlink" Target="mailto:v027shn@cathaypacific.com" TargetMode="External"/><Relationship Id="rId242" Type="http://schemas.openxmlformats.org/officeDocument/2006/relationships/hyperlink" Target="mailto:kiran_gambhir@cathaypacific.com" TargetMode="External"/><Relationship Id="rId263" Type="http://schemas.openxmlformats.org/officeDocument/2006/relationships/hyperlink" Target="mailto:sweetan_bhandu@cathaypacific.com" TargetMode="External"/><Relationship Id="rId37" Type="http://schemas.openxmlformats.org/officeDocument/2006/relationships/hyperlink" Target="mailto:violet_dsouza@cathaypacific.com" TargetMode="External"/><Relationship Id="rId58" Type="http://schemas.openxmlformats.org/officeDocument/2006/relationships/hyperlink" Target="mailto:V027JAD@cathaypacific.com" TargetMode="External"/><Relationship Id="rId79" Type="http://schemas.openxmlformats.org/officeDocument/2006/relationships/hyperlink" Target="mailto:V027SES@cathaypacific.com" TargetMode="External"/><Relationship Id="rId102" Type="http://schemas.openxmlformats.org/officeDocument/2006/relationships/hyperlink" Target="mailto:darshana_chunekar@cathaypacific.com" TargetMode="External"/><Relationship Id="rId123" Type="http://schemas.openxmlformats.org/officeDocument/2006/relationships/hyperlink" Target="mailto:murillo_gonsalves@cathaypacific.com" TargetMode="External"/><Relationship Id="rId144" Type="http://schemas.openxmlformats.org/officeDocument/2006/relationships/hyperlink" Target="mailto:shaziya_sayeed@cathaypacific.com" TargetMode="External"/><Relationship Id="rId90" Type="http://schemas.openxmlformats.org/officeDocument/2006/relationships/hyperlink" Target="mailto:abhijit_khule@cathaypacific.com" TargetMode="External"/><Relationship Id="rId165" Type="http://schemas.openxmlformats.org/officeDocument/2006/relationships/hyperlink" Target="mailto:v027kad@cathaypacific.com" TargetMode="External"/><Relationship Id="rId186" Type="http://schemas.openxmlformats.org/officeDocument/2006/relationships/hyperlink" Target="mailto:v027kil@cathaypacific.com" TargetMode="External"/><Relationship Id="rId211" Type="http://schemas.openxmlformats.org/officeDocument/2006/relationships/hyperlink" Target="mailto:mandar_warang@cathaypacific.com" TargetMode="External"/><Relationship Id="rId232" Type="http://schemas.openxmlformats.org/officeDocument/2006/relationships/hyperlink" Target="mailto:v027tek@cathaypacific.com" TargetMode="External"/><Relationship Id="rId253" Type="http://schemas.openxmlformats.org/officeDocument/2006/relationships/hyperlink" Target="mailto:V027SOK@cathaypacific.com" TargetMode="External"/><Relationship Id="rId27" Type="http://schemas.openxmlformats.org/officeDocument/2006/relationships/hyperlink" Target="mailto:V027SHG@cathaypacific.com" TargetMode="External"/><Relationship Id="rId48" Type="http://schemas.openxmlformats.org/officeDocument/2006/relationships/hyperlink" Target="mailto:V027BBR@cathaypacific.com" TargetMode="External"/><Relationship Id="rId69" Type="http://schemas.openxmlformats.org/officeDocument/2006/relationships/hyperlink" Target="mailto:V027PRJ@cathaypacific.com" TargetMode="External"/><Relationship Id="rId113" Type="http://schemas.openxmlformats.org/officeDocument/2006/relationships/hyperlink" Target="mailto:jyotsna_patankar@cathaypacific.com" TargetMode="External"/><Relationship Id="rId134" Type="http://schemas.openxmlformats.org/officeDocument/2006/relationships/hyperlink" Target="mailto:rupali_paradeshi@cathaypacific.com" TargetMode="External"/><Relationship Id="rId80" Type="http://schemas.openxmlformats.org/officeDocument/2006/relationships/hyperlink" Target="mailto:V027SHA@cathaypacific.com" TargetMode="External"/><Relationship Id="rId155" Type="http://schemas.openxmlformats.org/officeDocument/2006/relationships/hyperlink" Target="mailto:V027PAV@cathaypacific.com" TargetMode="External"/><Relationship Id="rId176" Type="http://schemas.openxmlformats.org/officeDocument/2006/relationships/hyperlink" Target="mailto:v027ssp@cathaypacific.com" TargetMode="External"/><Relationship Id="rId197" Type="http://schemas.openxmlformats.org/officeDocument/2006/relationships/hyperlink" Target="mailto:v027sasm@cathaypacific.com" TargetMode="External"/><Relationship Id="rId201" Type="http://schemas.openxmlformats.org/officeDocument/2006/relationships/hyperlink" Target="mailto:shrunal_nangare@cathaypacific.com" TargetMode="External"/><Relationship Id="rId222" Type="http://schemas.openxmlformats.org/officeDocument/2006/relationships/hyperlink" Target="mailto:v027tek@cathaypacific.com" TargetMode="External"/><Relationship Id="rId243" Type="http://schemas.openxmlformats.org/officeDocument/2006/relationships/hyperlink" Target="mailto:V027LAX@cathaypacific.com" TargetMode="External"/><Relationship Id="rId264" Type="http://schemas.openxmlformats.org/officeDocument/2006/relationships/hyperlink" Target="mailto:V027TTL@cathaypacific.com" TargetMode="External"/><Relationship Id="rId17" Type="http://schemas.openxmlformats.org/officeDocument/2006/relationships/hyperlink" Target="mailto:V027SAP@cathaypacific.com" TargetMode="External"/><Relationship Id="rId38" Type="http://schemas.openxmlformats.org/officeDocument/2006/relationships/hyperlink" Target="mailto:V027ARM@cathaypacific.com" TargetMode="External"/><Relationship Id="rId59" Type="http://schemas.openxmlformats.org/officeDocument/2006/relationships/hyperlink" Target="mailto:V027KKS@cathaypacific.com" TargetMode="External"/><Relationship Id="rId103" Type="http://schemas.openxmlformats.org/officeDocument/2006/relationships/hyperlink" Target="mailto:deborah_narayanan@cathaypacific.com" TargetMode="External"/><Relationship Id="rId124" Type="http://schemas.openxmlformats.org/officeDocument/2006/relationships/hyperlink" Target="mailto:V027NAC@cathaypacific.com" TargetMode="External"/><Relationship Id="rId70" Type="http://schemas.openxmlformats.org/officeDocument/2006/relationships/hyperlink" Target="mailto:prasad_khule@cathaypacific.com" TargetMode="External"/><Relationship Id="rId91" Type="http://schemas.openxmlformats.org/officeDocument/2006/relationships/hyperlink" Target="mailto:abhinay_ahire@cathaypacific.com" TargetMode="External"/><Relationship Id="rId145" Type="http://schemas.openxmlformats.org/officeDocument/2006/relationships/hyperlink" Target="mailto:shishir_pabrekar@cathaypacific.com" TargetMode="External"/><Relationship Id="rId166" Type="http://schemas.openxmlformats.org/officeDocument/2006/relationships/hyperlink" Target="mailto:v027mmp@cathaypacific.com" TargetMode="External"/><Relationship Id="rId187" Type="http://schemas.openxmlformats.org/officeDocument/2006/relationships/hyperlink" Target="mailto:v027mmj@cathaypacific.com" TargetMode="External"/><Relationship Id="rId1" Type="http://schemas.openxmlformats.org/officeDocument/2006/relationships/hyperlink" Target="mailto:lokesh_poojary@cathaypacific.com" TargetMode="External"/><Relationship Id="rId212" Type="http://schemas.openxmlformats.org/officeDocument/2006/relationships/hyperlink" Target="mailto:cppmsa@cathaypacific.com" TargetMode="External"/><Relationship Id="rId233" Type="http://schemas.openxmlformats.org/officeDocument/2006/relationships/hyperlink" Target="mailto:V027NNA@cathaypacific.com" TargetMode="External"/><Relationship Id="rId254" Type="http://schemas.openxmlformats.org/officeDocument/2006/relationships/hyperlink" Target="mailto:swati_saravade@cathaypacific.com" TargetMode="External"/><Relationship Id="rId28" Type="http://schemas.openxmlformats.org/officeDocument/2006/relationships/hyperlink" Target="mailto:sunil_pevekar@cathaypacific.com" TargetMode="External"/><Relationship Id="rId49" Type="http://schemas.openxmlformats.org/officeDocument/2006/relationships/hyperlink" Target="mailto:brayal_lepez@cathaypacific.com" TargetMode="External"/><Relationship Id="rId114" Type="http://schemas.openxmlformats.org/officeDocument/2006/relationships/hyperlink" Target="mailto:kavita_malandkar@cathaypacific.com" TargetMode="External"/><Relationship Id="rId60" Type="http://schemas.openxmlformats.org/officeDocument/2006/relationships/hyperlink" Target="mailto:khan_israr@cathaypacific.com" TargetMode="External"/><Relationship Id="rId81" Type="http://schemas.openxmlformats.org/officeDocument/2006/relationships/hyperlink" Target="mailto:V027SSH@cathaypacific.com" TargetMode="External"/><Relationship Id="rId135" Type="http://schemas.openxmlformats.org/officeDocument/2006/relationships/hyperlink" Target="mailto:V027RUP@cathaypacific.com" TargetMode="External"/><Relationship Id="rId156" Type="http://schemas.openxmlformats.org/officeDocument/2006/relationships/hyperlink" Target="mailto:v027vik@cathaypacific.com" TargetMode="External"/><Relationship Id="rId177" Type="http://schemas.openxmlformats.org/officeDocument/2006/relationships/hyperlink" Target="mailto:V027AAA@cathaypacific.com" TargetMode="External"/><Relationship Id="rId198" Type="http://schemas.openxmlformats.org/officeDocument/2006/relationships/hyperlink" Target="mailto:v027saw@cathaypacific.com" TargetMode="External"/><Relationship Id="rId202" Type="http://schemas.openxmlformats.org/officeDocument/2006/relationships/hyperlink" Target="mailto:V027SUP@cathaypacific.com" TargetMode="External"/><Relationship Id="rId223" Type="http://schemas.openxmlformats.org/officeDocument/2006/relationships/hyperlink" Target="mailto:v027rrm@cathaypacific.com" TargetMode="External"/><Relationship Id="rId244" Type="http://schemas.openxmlformats.org/officeDocument/2006/relationships/hyperlink" Target="mailto:leena_kirti@cathaypacific.com" TargetMode="External"/><Relationship Id="rId18" Type="http://schemas.openxmlformats.org/officeDocument/2006/relationships/hyperlink" Target="mailto:suchita_chandorkar@cathaypacific.com" TargetMode="External"/><Relationship Id="rId39" Type="http://schemas.openxmlformats.org/officeDocument/2006/relationships/hyperlink" Target="mailto:V027AKT@cathaypacific.com" TargetMode="External"/><Relationship Id="rId265" Type="http://schemas.openxmlformats.org/officeDocument/2006/relationships/hyperlink" Target="mailto:lydia_carneiro@cathaypacific.com" TargetMode="External"/><Relationship Id="rId50" Type="http://schemas.openxmlformats.org/officeDocument/2006/relationships/hyperlink" Target="mailto:chetan_bavakar@cathaypacific.com" TargetMode="External"/><Relationship Id="rId104" Type="http://schemas.openxmlformats.org/officeDocument/2006/relationships/hyperlink" Target="mailto:deepak_pawar@cathaypacific.com" TargetMode="External"/><Relationship Id="rId125" Type="http://schemas.openxmlformats.org/officeDocument/2006/relationships/hyperlink" Target="mailto:nilufer_badhniwalla@cathaypacific.com" TargetMode="External"/><Relationship Id="rId146" Type="http://schemas.openxmlformats.org/officeDocument/2006/relationships/hyperlink" Target="mailto:v027ssl@cathaypacific.com" TargetMode="External"/><Relationship Id="rId167" Type="http://schemas.openxmlformats.org/officeDocument/2006/relationships/hyperlink" Target="mailto:nuzah_roghay@cathaypacific.com" TargetMode="External"/><Relationship Id="rId188" Type="http://schemas.openxmlformats.org/officeDocument/2006/relationships/hyperlink" Target="mailto:mitra_naimi@cathaypacific.com" TargetMode="External"/><Relationship Id="rId71" Type="http://schemas.openxmlformats.org/officeDocument/2006/relationships/hyperlink" Target="mailto:V027PPS@cathaypacific.com" TargetMode="External"/><Relationship Id="rId92" Type="http://schemas.openxmlformats.org/officeDocument/2006/relationships/hyperlink" Target="mailto:V027AJL@cathaypacific.com" TargetMode="External"/><Relationship Id="rId213" Type="http://schemas.openxmlformats.org/officeDocument/2006/relationships/hyperlink" Target="mailto:nilesh_raghavan@cathaypacific.com" TargetMode="External"/><Relationship Id="rId234" Type="http://schemas.openxmlformats.org/officeDocument/2006/relationships/hyperlink" Target="mailto:V027AMA@cathaypacific.com" TargetMode="External"/><Relationship Id="rId2" Type="http://schemas.openxmlformats.org/officeDocument/2006/relationships/hyperlink" Target="mailto:susanne_gupta@cathaypacific.com" TargetMode="External"/><Relationship Id="rId29" Type="http://schemas.openxmlformats.org/officeDocument/2006/relationships/hyperlink" Target="mailto:sushil_ghorpade@cathaypacific.com" TargetMode="External"/><Relationship Id="rId255" Type="http://schemas.openxmlformats.org/officeDocument/2006/relationships/hyperlink" Target="mailto:V027TKR@cathaypacific.com" TargetMode="External"/><Relationship Id="rId40" Type="http://schemas.openxmlformats.org/officeDocument/2006/relationships/hyperlink" Target="mailto:ajit_babar@cathaypacific.com" TargetMode="External"/><Relationship Id="rId115" Type="http://schemas.openxmlformats.org/officeDocument/2006/relationships/hyperlink" Target="mailto:Krishnakant_Gupta@cathaypacific.com" TargetMode="External"/><Relationship Id="rId136" Type="http://schemas.openxmlformats.org/officeDocument/2006/relationships/hyperlink" Target="mailto:Sachin_Bangera@cathaypacific.com" TargetMode="External"/><Relationship Id="rId157" Type="http://schemas.openxmlformats.org/officeDocument/2006/relationships/hyperlink" Target="mailto:althea_rocha@cathaypacific.com" TargetMode="External"/><Relationship Id="rId178" Type="http://schemas.openxmlformats.org/officeDocument/2006/relationships/hyperlink" Target="mailto:V027AMS@cathaypacific.com" TargetMode="External"/><Relationship Id="rId61" Type="http://schemas.openxmlformats.org/officeDocument/2006/relationships/hyperlink" Target="mailto:madhuri_alahit@cathaypacific.com" TargetMode="External"/><Relationship Id="rId82" Type="http://schemas.openxmlformats.org/officeDocument/2006/relationships/hyperlink" Target="mailto:suraraj_patil@cathaypacific.com" TargetMode="External"/><Relationship Id="rId199" Type="http://schemas.openxmlformats.org/officeDocument/2006/relationships/hyperlink" Target="mailto:sanket_kasle@cathaypacific.com" TargetMode="External"/><Relationship Id="rId203" Type="http://schemas.openxmlformats.org/officeDocument/2006/relationships/hyperlink" Target="mailto:v027viv@cathaypacific.com" TargetMode="External"/><Relationship Id="rId19" Type="http://schemas.openxmlformats.org/officeDocument/2006/relationships/hyperlink" Target="mailto:trupti_chavan@cathaypacific.com" TargetMode="External"/><Relationship Id="rId224" Type="http://schemas.openxmlformats.org/officeDocument/2006/relationships/hyperlink" Target="mailto:v027mam@cathaypacific.com" TargetMode="External"/><Relationship Id="rId245" Type="http://schemas.openxmlformats.org/officeDocument/2006/relationships/hyperlink" Target="mailto:V027MUP@cathaypacific.com" TargetMode="External"/><Relationship Id="rId266" Type="http://schemas.openxmlformats.org/officeDocument/2006/relationships/hyperlink" Target="mailto:V027VIL@cathaypacific.com" TargetMode="External"/><Relationship Id="rId30" Type="http://schemas.openxmlformats.org/officeDocument/2006/relationships/hyperlink" Target="mailto:vibhavari_khandekar@cathaypacific.com" TargetMode="External"/><Relationship Id="rId105" Type="http://schemas.openxmlformats.org/officeDocument/2006/relationships/hyperlink" Target="mailto:V027DER@cathaypacific.com" TargetMode="External"/><Relationship Id="rId126" Type="http://schemas.openxmlformats.org/officeDocument/2006/relationships/hyperlink" Target="mailto:v027nit@cathaypacific.com" TargetMode="External"/><Relationship Id="rId147" Type="http://schemas.openxmlformats.org/officeDocument/2006/relationships/hyperlink" Target="mailto:shruti_sashidhar@cathaypacific.com" TargetMode="External"/><Relationship Id="rId168" Type="http://schemas.openxmlformats.org/officeDocument/2006/relationships/hyperlink" Target="mailto:pascol_souza@cathaypacific.com" TargetMode="External"/><Relationship Id="rId51" Type="http://schemas.openxmlformats.org/officeDocument/2006/relationships/hyperlink" Target="mailto:darshana_keni@cathaypacific.com" TargetMode="External"/><Relationship Id="rId72" Type="http://schemas.openxmlformats.org/officeDocument/2006/relationships/hyperlink" Target="mailto:rajendra_gautam@cathaypacific.com" TargetMode="External"/><Relationship Id="rId93" Type="http://schemas.openxmlformats.org/officeDocument/2006/relationships/hyperlink" Target="mailto:V027AHA@cathaypacific.com" TargetMode="External"/><Relationship Id="rId189" Type="http://schemas.openxmlformats.org/officeDocument/2006/relationships/hyperlink" Target="mailto:v027nib@cathaypacific.com" TargetMode="External"/><Relationship Id="rId3" Type="http://schemas.openxmlformats.org/officeDocument/2006/relationships/hyperlink" Target="mailto:V027ZZS@cathaypacific.com" TargetMode="External"/><Relationship Id="rId214" Type="http://schemas.openxmlformats.org/officeDocument/2006/relationships/hyperlink" Target="mailto:V027RK@cathaypacific.com" TargetMode="External"/><Relationship Id="rId235" Type="http://schemas.openxmlformats.org/officeDocument/2006/relationships/hyperlink" Target="mailto:V027AND@cathaypacific.com" TargetMode="External"/><Relationship Id="rId256" Type="http://schemas.openxmlformats.org/officeDocument/2006/relationships/hyperlink" Target="mailto:V027YAS@cathaypacific.com" TargetMode="External"/><Relationship Id="rId116" Type="http://schemas.openxmlformats.org/officeDocument/2006/relationships/hyperlink" Target="mailto:v027kkm@cathaypacific.com" TargetMode="External"/><Relationship Id="rId137" Type="http://schemas.openxmlformats.org/officeDocument/2006/relationships/hyperlink" Target="mailto:V027PAS@cathaypacific.com" TargetMode="External"/><Relationship Id="rId158" Type="http://schemas.openxmlformats.org/officeDocument/2006/relationships/hyperlink" Target="mailto:anil_mathews@cathaypacific.com" TargetMode="External"/><Relationship Id="rId20" Type="http://schemas.openxmlformats.org/officeDocument/2006/relationships/hyperlink" Target="mailto:shikha_bhattacharya@cathaypacific.com" TargetMode="External"/><Relationship Id="rId41" Type="http://schemas.openxmlformats.org/officeDocument/2006/relationships/hyperlink" Target="mailto:V027AAT@cathaypacific.com" TargetMode="External"/><Relationship Id="rId62" Type="http://schemas.openxmlformats.org/officeDocument/2006/relationships/hyperlink" Target="mailto:V027MML@cathaypacific.com" TargetMode="External"/><Relationship Id="rId83" Type="http://schemas.openxmlformats.org/officeDocument/2006/relationships/hyperlink" Target="mailto:swapnil_rahate@cathaypacific.com" TargetMode="External"/><Relationship Id="rId179" Type="http://schemas.openxmlformats.org/officeDocument/2006/relationships/hyperlink" Target="mailto:V027AQK@cathaypacific.com" TargetMode="External"/><Relationship Id="rId190" Type="http://schemas.openxmlformats.org/officeDocument/2006/relationships/hyperlink" Target="mailto:v027pon@cathaypacific.com" TargetMode="External"/><Relationship Id="rId204" Type="http://schemas.openxmlformats.org/officeDocument/2006/relationships/hyperlink" Target="mailto:zaheer_patel@cathaypacific.com" TargetMode="External"/><Relationship Id="rId225" Type="http://schemas.openxmlformats.org/officeDocument/2006/relationships/hyperlink" Target="mailto:v027mrk@cathaypacific.com" TargetMode="External"/><Relationship Id="rId246" Type="http://schemas.openxmlformats.org/officeDocument/2006/relationships/hyperlink" Target="mailto:V027NNS@cathaypacific.com" TargetMode="External"/><Relationship Id="rId106" Type="http://schemas.openxmlformats.org/officeDocument/2006/relationships/hyperlink" Target="mailto:deepika_mayangade@cathaypacific.com" TargetMode="External"/><Relationship Id="rId127" Type="http://schemas.openxmlformats.org/officeDocument/2006/relationships/hyperlink" Target="mailto:prasad_gosavi@cathaypacific.com" TargetMode="External"/><Relationship Id="rId10" Type="http://schemas.openxmlformats.org/officeDocument/2006/relationships/hyperlink" Target="mailto:v027dij@cathaypacific.com" TargetMode="External"/><Relationship Id="rId31" Type="http://schemas.openxmlformats.org/officeDocument/2006/relationships/hyperlink" Target="mailto:CPPAPJ@cathaypacific.com" TargetMode="External"/><Relationship Id="rId52" Type="http://schemas.openxmlformats.org/officeDocument/2006/relationships/hyperlink" Target="mailto:deepti_muranjan@cathaypacific.com" TargetMode="External"/><Relationship Id="rId73" Type="http://schemas.openxmlformats.org/officeDocument/2006/relationships/hyperlink" Target="mailto:V027RJK@cathaypacific.com" TargetMode="External"/><Relationship Id="rId94" Type="http://schemas.openxmlformats.org/officeDocument/2006/relationships/hyperlink" Target="mailto:V027AKP@cathaypacific.com" TargetMode="External"/><Relationship Id="rId148" Type="http://schemas.openxmlformats.org/officeDocument/2006/relationships/hyperlink" Target="mailto:V027SUG@cathaypacific.com" TargetMode="External"/><Relationship Id="rId169" Type="http://schemas.openxmlformats.org/officeDocument/2006/relationships/hyperlink" Target="mailto:v027pok@cathaypacific.com" TargetMode="External"/><Relationship Id="rId4" Type="http://schemas.openxmlformats.org/officeDocument/2006/relationships/hyperlink" Target="mailto:V027PPW@cathaypacific.com" TargetMode="External"/><Relationship Id="rId180" Type="http://schemas.openxmlformats.org/officeDocument/2006/relationships/hyperlink" Target="mailto:arpita_kantol@cathaypacific.com" TargetMode="External"/><Relationship Id="rId215" Type="http://schemas.openxmlformats.org/officeDocument/2006/relationships/hyperlink" Target="mailto:V027PRR@cathaypacific.com" TargetMode="External"/><Relationship Id="rId236" Type="http://schemas.openxmlformats.org/officeDocument/2006/relationships/hyperlink" Target="mailto:ansari_abdul@cathaypacific.com" TargetMode="External"/><Relationship Id="rId257" Type="http://schemas.openxmlformats.org/officeDocument/2006/relationships/hyperlink" Target="mailto:v027zzr@cathaypacific.com" TargetMode="External"/><Relationship Id="rId42" Type="http://schemas.openxmlformats.org/officeDocument/2006/relationships/hyperlink" Target="mailto:V027AMJ@cathaypacific.com" TargetMode="External"/><Relationship Id="rId84" Type="http://schemas.openxmlformats.org/officeDocument/2006/relationships/hyperlink" Target="mailto:V027SSY@cathaypacific.com" TargetMode="External"/><Relationship Id="rId138" Type="http://schemas.openxmlformats.org/officeDocument/2006/relationships/hyperlink" Target="mailto:V027SSS@cathaypacific.com" TargetMode="External"/><Relationship Id="rId191" Type="http://schemas.openxmlformats.org/officeDocument/2006/relationships/hyperlink" Target="mailto:v027bpp@cathaypacific.com" TargetMode="External"/><Relationship Id="rId205" Type="http://schemas.openxmlformats.org/officeDocument/2006/relationships/hyperlink" Target="mailto:v027pom@cathaypacific.com" TargetMode="External"/><Relationship Id="rId247" Type="http://schemas.openxmlformats.org/officeDocument/2006/relationships/hyperlink" Target="mailto:V027PRT@cathaypacifi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D715D-55D0-49AC-A71E-02192F0B096E}">
  <dimension ref="A1:K313"/>
  <sheetViews>
    <sheetView tabSelected="1" workbookViewId="0">
      <selection activeCell="K1" sqref="K1"/>
    </sheetView>
  </sheetViews>
  <sheetFormatPr defaultRowHeight="14.5" x14ac:dyDescent="0.35"/>
  <cols>
    <col min="1" max="1" width="3.54296875" bestFit="1" customWidth="1"/>
    <col min="2" max="2" width="22.6328125" bestFit="1" customWidth="1"/>
    <col min="3" max="3" width="9" bestFit="1" customWidth="1"/>
    <col min="4" max="4" width="33.6328125" bestFit="1" customWidth="1"/>
    <col min="5" max="5" width="8" bestFit="1" customWidth="1"/>
    <col min="6" max="11" width="9.54296875" bestFit="1" customWidth="1"/>
  </cols>
  <sheetData>
    <row r="1" spans="1:11" ht="26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</row>
    <row r="2" spans="1:11" x14ac:dyDescent="0.35">
      <c r="A2" s="9">
        <v>1</v>
      </c>
      <c r="B2" s="10" t="s">
        <v>11</v>
      </c>
      <c r="C2" s="10" t="s">
        <v>12</v>
      </c>
      <c r="D2" s="11" t="s">
        <v>13</v>
      </c>
      <c r="E2" s="10" t="s">
        <v>14</v>
      </c>
      <c r="F2" s="1">
        <v>45993</v>
      </c>
      <c r="G2" s="1">
        <f>IFERROR(IF(Sheet1!$F2="","",Sheet1!$F2+365),"")</f>
        <v>46358</v>
      </c>
      <c r="H2" s="1">
        <f>IFERROR(IF(Sheet1!$F2="","",Sheet1!$F2+335),"")</f>
        <v>46328</v>
      </c>
      <c r="I2" s="1">
        <v>45961</v>
      </c>
      <c r="J2" s="1">
        <f>IFERROR(IF(Sheet1!$I2="","",Sheet1!$I2+365),"")</f>
        <v>46326</v>
      </c>
      <c r="K2" s="2">
        <f>IFERROR(IF(Sheet1!$I2="","",Sheet1!$I2+305),"")</f>
        <v>46266</v>
      </c>
    </row>
    <row r="3" spans="1:11" x14ac:dyDescent="0.35">
      <c r="A3" s="9">
        <v>2</v>
      </c>
      <c r="B3" s="10" t="s">
        <v>15</v>
      </c>
      <c r="C3" s="10" t="s">
        <v>16</v>
      </c>
      <c r="D3" s="11" t="s">
        <v>17</v>
      </c>
      <c r="E3" s="10" t="s">
        <v>18</v>
      </c>
      <c r="F3" s="1">
        <v>46116</v>
      </c>
      <c r="G3" s="1">
        <f>IFERROR(IF(Sheet1!$F3="","",Sheet1!$F3+365),"")</f>
        <v>46481</v>
      </c>
      <c r="H3" s="1">
        <f>IFERROR(IF(Sheet1!$F3="","",Sheet1!$F3+335),"")</f>
        <v>46451</v>
      </c>
      <c r="I3" s="1">
        <v>46116</v>
      </c>
      <c r="J3" s="1">
        <f>IFERROR(IF(Sheet1!$I3="","",Sheet1!$I3+365),"")</f>
        <v>46481</v>
      </c>
      <c r="K3" s="2">
        <f>IFERROR(IF(Sheet1!$I3="","",Sheet1!$I3+305),"")</f>
        <v>46421</v>
      </c>
    </row>
    <row r="4" spans="1:11" x14ac:dyDescent="0.35">
      <c r="A4" s="9">
        <v>3</v>
      </c>
      <c r="B4" s="12" t="s">
        <v>19</v>
      </c>
      <c r="C4" s="12" t="s">
        <v>20</v>
      </c>
      <c r="D4" s="13" t="s">
        <v>21</v>
      </c>
      <c r="E4" s="12" t="s">
        <v>22</v>
      </c>
      <c r="F4" s="14">
        <v>45998</v>
      </c>
      <c r="G4" s="1">
        <f>IFERROR(IF(Sheet1!$F4="","",Sheet1!$F4+365),"")</f>
        <v>46363</v>
      </c>
      <c r="H4" s="1">
        <f>IFERROR(IF(Sheet1!$F4="","",Sheet1!$F4+335),"")</f>
        <v>46333</v>
      </c>
      <c r="I4" s="14">
        <v>45992</v>
      </c>
      <c r="J4" s="1">
        <f>IFERROR(IF(Sheet1!$I4="","",Sheet1!$I4+365),"")</f>
        <v>46357</v>
      </c>
      <c r="K4" s="2">
        <f>IFERROR(IF(Sheet1!$I4="","",Sheet1!$I4+305),"")</f>
        <v>46297</v>
      </c>
    </row>
    <row r="5" spans="1:11" x14ac:dyDescent="0.35">
      <c r="A5" s="9">
        <v>4</v>
      </c>
      <c r="B5" s="10" t="s">
        <v>23</v>
      </c>
      <c r="C5" s="10" t="s">
        <v>24</v>
      </c>
      <c r="D5" s="11" t="s">
        <v>25</v>
      </c>
      <c r="E5" s="10" t="s">
        <v>26</v>
      </c>
      <c r="F5" s="1">
        <v>45982</v>
      </c>
      <c r="G5" s="1">
        <f>IFERROR(IF(Sheet1!$F5="","",Sheet1!$F5+365),"")</f>
        <v>46347</v>
      </c>
      <c r="H5" s="1">
        <f>IFERROR(IF(Sheet1!$F5="","",Sheet1!$F5+335),"")</f>
        <v>46317</v>
      </c>
      <c r="I5" s="1">
        <v>45918</v>
      </c>
      <c r="J5" s="1">
        <f>IFERROR(IF(Sheet1!$I5="","",Sheet1!$I5+365),"")</f>
        <v>46283</v>
      </c>
      <c r="K5" s="2">
        <f>IFERROR(IF(Sheet1!$I5="","",Sheet1!$I5+305),"")</f>
        <v>46223</v>
      </c>
    </row>
    <row r="6" spans="1:11" x14ac:dyDescent="0.35">
      <c r="A6" s="9">
        <v>5</v>
      </c>
      <c r="B6" s="10" t="s">
        <v>27</v>
      </c>
      <c r="C6" s="10" t="s">
        <v>28</v>
      </c>
      <c r="D6" s="11" t="s">
        <v>29</v>
      </c>
      <c r="E6" s="10" t="s">
        <v>14</v>
      </c>
      <c r="F6" s="1">
        <v>45988</v>
      </c>
      <c r="G6" s="1">
        <f>IFERROR(IF(Sheet1!$F6="","",Sheet1!$F6+365),"")</f>
        <v>46353</v>
      </c>
      <c r="H6" s="1">
        <f>IFERROR(IF(Sheet1!$F6="","",Sheet1!$F6+335),"")</f>
        <v>46323</v>
      </c>
      <c r="I6" s="1">
        <v>45938</v>
      </c>
      <c r="J6" s="1">
        <f>IFERROR(IF(Sheet1!$I6="","",Sheet1!$I6+365),"")</f>
        <v>46303</v>
      </c>
      <c r="K6" s="2">
        <f>IFERROR(IF(Sheet1!$I6="","",Sheet1!$I6+305),"")</f>
        <v>46243</v>
      </c>
    </row>
    <row r="7" spans="1:11" x14ac:dyDescent="0.35">
      <c r="A7" s="9">
        <v>6</v>
      </c>
      <c r="B7" s="10" t="s">
        <v>30</v>
      </c>
      <c r="C7" s="10" t="s">
        <v>31</v>
      </c>
      <c r="D7" s="10" t="s">
        <v>32</v>
      </c>
      <c r="E7" s="10" t="s">
        <v>33</v>
      </c>
      <c r="F7" s="1">
        <v>46001</v>
      </c>
      <c r="G7" s="1">
        <f>IFERROR(IF(Sheet1!$F7="","",Sheet1!$F7+365),"")</f>
        <v>46366</v>
      </c>
      <c r="H7" s="1">
        <f>IFERROR(IF(Sheet1!$F7="","",Sheet1!$F7+335),"")</f>
        <v>46336</v>
      </c>
      <c r="I7" s="1">
        <v>45999</v>
      </c>
      <c r="J7" s="1">
        <f>IFERROR(IF(Sheet1!$I7="","",Sheet1!$I7+365),"")</f>
        <v>46364</v>
      </c>
      <c r="K7" s="2">
        <f>IFERROR(IF(Sheet1!$I7="","",Sheet1!$I7+305),"")</f>
        <v>46304</v>
      </c>
    </row>
    <row r="8" spans="1:11" x14ac:dyDescent="0.35">
      <c r="A8" s="9">
        <v>7</v>
      </c>
      <c r="B8" s="10" t="s">
        <v>34</v>
      </c>
      <c r="C8" s="10" t="s">
        <v>35</v>
      </c>
      <c r="D8" s="11" t="s">
        <v>36</v>
      </c>
      <c r="E8" s="10" t="s">
        <v>37</v>
      </c>
      <c r="F8" s="1">
        <v>45997</v>
      </c>
      <c r="G8" s="1">
        <f>IFERROR(IF(Sheet1!$F8="","",Sheet1!$F8+365),"")</f>
        <v>46362</v>
      </c>
      <c r="H8" s="1">
        <f>IFERROR(IF(Sheet1!$F8="","",Sheet1!$F8+335),"")</f>
        <v>46332</v>
      </c>
      <c r="I8" s="1">
        <v>45940</v>
      </c>
      <c r="J8" s="1">
        <f>IFERROR(IF(Sheet1!$I8="","",Sheet1!$I8+365),"")</f>
        <v>46305</v>
      </c>
      <c r="K8" s="2">
        <f>IFERROR(IF(Sheet1!$I8="","",Sheet1!$I8+305),"")</f>
        <v>46245</v>
      </c>
    </row>
    <row r="9" spans="1:11" x14ac:dyDescent="0.35">
      <c r="A9" s="9">
        <v>8</v>
      </c>
      <c r="B9" s="10" t="s">
        <v>38</v>
      </c>
      <c r="C9" s="10" t="s">
        <v>39</v>
      </c>
      <c r="D9" s="11" t="s">
        <v>40</v>
      </c>
      <c r="E9" s="10" t="s">
        <v>37</v>
      </c>
      <c r="F9" s="1">
        <v>45979</v>
      </c>
      <c r="G9" s="1">
        <f>IFERROR(IF(Sheet1!$F9="","",Sheet1!$F9+365),"")</f>
        <v>46344</v>
      </c>
      <c r="H9" s="1">
        <f>IFERROR(IF(Sheet1!$F9="","",Sheet1!$F9+335),"")</f>
        <v>46314</v>
      </c>
      <c r="I9" s="1">
        <v>45947</v>
      </c>
      <c r="J9" s="1">
        <f>IFERROR(IF(Sheet1!$I9="","",Sheet1!$I9+365),"")</f>
        <v>46312</v>
      </c>
      <c r="K9" s="2">
        <f>IFERROR(IF(Sheet1!$I9="","",Sheet1!$I9+305),"")</f>
        <v>46252</v>
      </c>
    </row>
    <row r="10" spans="1:11" x14ac:dyDescent="0.35">
      <c r="A10" s="9">
        <v>9</v>
      </c>
      <c r="B10" s="10" t="s">
        <v>41</v>
      </c>
      <c r="C10" s="10" t="s">
        <v>42</v>
      </c>
      <c r="D10" s="11" t="s">
        <v>43</v>
      </c>
      <c r="E10" s="10" t="s">
        <v>37</v>
      </c>
      <c r="F10" s="1">
        <v>45881</v>
      </c>
      <c r="G10" s="1">
        <f>IFERROR(IF(Sheet1!$F10="","",Sheet1!$F10+365),"")</f>
        <v>46246</v>
      </c>
      <c r="H10" s="1">
        <f>IFERROR(IF(Sheet1!$F10="","",Sheet1!$F10+335),"")</f>
        <v>46216</v>
      </c>
      <c r="I10" s="1">
        <v>45880</v>
      </c>
      <c r="J10" s="1">
        <f>IFERROR(IF(Sheet1!$I10="","",Sheet1!$I10+365),"")</f>
        <v>46245</v>
      </c>
      <c r="K10" s="2">
        <f>IFERROR(IF(Sheet1!$I10="","",Sheet1!$I10+305),"")</f>
        <v>46185</v>
      </c>
    </row>
    <row r="11" spans="1:11" x14ac:dyDescent="0.35">
      <c r="A11" s="9">
        <v>10</v>
      </c>
      <c r="B11" s="10" t="s">
        <v>44</v>
      </c>
      <c r="C11" s="10" t="s">
        <v>45</v>
      </c>
      <c r="D11" s="11" t="s">
        <v>46</v>
      </c>
      <c r="E11" s="10" t="s">
        <v>14</v>
      </c>
      <c r="F11" s="1">
        <v>45980</v>
      </c>
      <c r="G11" s="1">
        <f>IFERROR(IF(Sheet1!$F11="","",Sheet1!$F11+365),"")</f>
        <v>46345</v>
      </c>
      <c r="H11" s="1">
        <f>IFERROR(IF(Sheet1!$F11="","",Sheet1!$F11+335),"")</f>
        <v>46315</v>
      </c>
      <c r="I11" s="1">
        <v>45932</v>
      </c>
      <c r="J11" s="1">
        <f>IFERROR(IF(Sheet1!$I11="","",Sheet1!$I11+365),"")</f>
        <v>46297</v>
      </c>
      <c r="K11" s="2">
        <f>IFERROR(IF(Sheet1!$I11="","",Sheet1!$I11+305),"")</f>
        <v>46237</v>
      </c>
    </row>
    <row r="12" spans="1:11" x14ac:dyDescent="0.35">
      <c r="A12" s="9">
        <v>11</v>
      </c>
      <c r="B12" s="10" t="s">
        <v>47</v>
      </c>
      <c r="C12" s="10" t="s">
        <v>48</v>
      </c>
      <c r="D12" s="11" t="s">
        <v>49</v>
      </c>
      <c r="E12" s="10" t="s">
        <v>37</v>
      </c>
      <c r="F12" s="1">
        <v>45814</v>
      </c>
      <c r="G12" s="1">
        <f>IFERROR(IF(Sheet1!$F12="","",Sheet1!$F12+365),"")</f>
        <v>46179</v>
      </c>
      <c r="H12" s="1">
        <f>IFERROR(IF(Sheet1!$F12="","",Sheet1!$F12+335),"")</f>
        <v>46149</v>
      </c>
      <c r="I12" s="1">
        <v>45806</v>
      </c>
      <c r="J12" s="1">
        <f>IFERROR(IF(Sheet1!$I12="","",Sheet1!$I12+365),"")</f>
        <v>46171</v>
      </c>
      <c r="K12" s="2">
        <f>IFERROR(IF(Sheet1!$I12="","",Sheet1!$I12+305),"")</f>
        <v>46111</v>
      </c>
    </row>
    <row r="13" spans="1:11" x14ac:dyDescent="0.35">
      <c r="A13" s="9">
        <v>12</v>
      </c>
      <c r="B13" s="10" t="s">
        <v>50</v>
      </c>
      <c r="C13" s="10" t="s">
        <v>51</v>
      </c>
      <c r="D13" s="11" t="s">
        <v>52</v>
      </c>
      <c r="E13" s="10" t="s">
        <v>37</v>
      </c>
      <c r="F13" s="1">
        <v>45880</v>
      </c>
      <c r="G13" s="1">
        <f>IFERROR(IF(Sheet1!$F13="","",Sheet1!$F13+365),"")</f>
        <v>46245</v>
      </c>
      <c r="H13" s="1">
        <f>IFERROR(IF(Sheet1!$F13="","",Sheet1!$F13+335),"")</f>
        <v>46215</v>
      </c>
      <c r="I13" s="1">
        <v>45880</v>
      </c>
      <c r="J13" s="1">
        <f>IFERROR(IF(Sheet1!$I13="","",Sheet1!$I13+365),"")</f>
        <v>46245</v>
      </c>
      <c r="K13" s="2">
        <f>IFERROR(IF(Sheet1!$I13="","",Sheet1!$I13+305),"")</f>
        <v>46185</v>
      </c>
    </row>
    <row r="14" spans="1:11" x14ac:dyDescent="0.35">
      <c r="A14" s="9">
        <v>13</v>
      </c>
      <c r="B14" s="10" t="s">
        <v>53</v>
      </c>
      <c r="C14" s="10" t="s">
        <v>54</v>
      </c>
      <c r="D14" s="11" t="s">
        <v>55</v>
      </c>
      <c r="E14" s="10" t="s">
        <v>56</v>
      </c>
      <c r="F14" s="1">
        <v>46003</v>
      </c>
      <c r="G14" s="1">
        <f>IFERROR(IF(Sheet1!$F14="","",Sheet1!$F14+365),"")</f>
        <v>46368</v>
      </c>
      <c r="H14" s="1">
        <f>IFERROR(IF(Sheet1!$F14="","",Sheet1!$F14+335),"")</f>
        <v>46338</v>
      </c>
      <c r="I14" s="1">
        <v>45967</v>
      </c>
      <c r="J14" s="1">
        <f>IFERROR(IF(Sheet1!$I14="","",Sheet1!$I14+365),"")</f>
        <v>46332</v>
      </c>
      <c r="K14" s="2">
        <f>IFERROR(IF(Sheet1!$I14="","",Sheet1!$I14+305),"")</f>
        <v>46272</v>
      </c>
    </row>
    <row r="15" spans="1:11" x14ac:dyDescent="0.35">
      <c r="A15" s="9">
        <v>14</v>
      </c>
      <c r="B15" s="10" t="s">
        <v>57</v>
      </c>
      <c r="C15" s="10" t="s">
        <v>58</v>
      </c>
      <c r="D15" s="11" t="s">
        <v>59</v>
      </c>
      <c r="E15" s="10" t="s">
        <v>14</v>
      </c>
      <c r="F15" s="1">
        <v>45978</v>
      </c>
      <c r="G15" s="1">
        <f>IFERROR(IF(Sheet1!$F15="","",Sheet1!$F15+365),"")</f>
        <v>46343</v>
      </c>
      <c r="H15" s="1">
        <f>IFERROR(IF(Sheet1!$F15="","",Sheet1!$F15+335),"")</f>
        <v>46313</v>
      </c>
      <c r="I15" s="1">
        <v>45904</v>
      </c>
      <c r="J15" s="1">
        <f>IFERROR(IF(Sheet1!$I15="","",Sheet1!$I15+365),"")</f>
        <v>46269</v>
      </c>
      <c r="K15" s="2">
        <f>IFERROR(IF(Sheet1!$I15="","",Sheet1!$I15+305),"")</f>
        <v>46209</v>
      </c>
    </row>
    <row r="16" spans="1:11" x14ac:dyDescent="0.35">
      <c r="A16" s="9">
        <v>15</v>
      </c>
      <c r="B16" s="10" t="s">
        <v>60</v>
      </c>
      <c r="C16" s="10" t="s">
        <v>61</v>
      </c>
      <c r="D16" s="11" t="s">
        <v>62</v>
      </c>
      <c r="E16" s="10" t="s">
        <v>63</v>
      </c>
      <c r="F16" s="1">
        <v>46006</v>
      </c>
      <c r="G16" s="1">
        <f>IFERROR(IF(Sheet1!$F16="","",Sheet1!$F16+365),"")</f>
        <v>46371</v>
      </c>
      <c r="H16" s="1">
        <f>IFERROR(IF(Sheet1!$F16="","",Sheet1!$F16+335),"")</f>
        <v>46341</v>
      </c>
      <c r="I16" s="1">
        <v>45918</v>
      </c>
      <c r="J16" s="1">
        <f>IFERROR(IF(Sheet1!$I16="","",Sheet1!$I16+365),"")</f>
        <v>46283</v>
      </c>
      <c r="K16" s="2">
        <f>IFERROR(IF(Sheet1!$I16="","",Sheet1!$I16+305),"")</f>
        <v>46223</v>
      </c>
    </row>
    <row r="17" spans="1:11" x14ac:dyDescent="0.35">
      <c r="A17" s="9">
        <v>16</v>
      </c>
      <c r="B17" s="10" t="s">
        <v>64</v>
      </c>
      <c r="C17" s="10" t="s">
        <v>65</v>
      </c>
      <c r="D17" s="11" t="s">
        <v>66</v>
      </c>
      <c r="E17" s="10" t="s">
        <v>37</v>
      </c>
      <c r="F17" s="1">
        <v>45984</v>
      </c>
      <c r="G17" s="1">
        <f>IFERROR(IF(Sheet1!$F17="","",Sheet1!$F17+365),"")</f>
        <v>46349</v>
      </c>
      <c r="H17" s="1">
        <f>IFERROR(IF(Sheet1!$F17="","",Sheet1!$F17+335),"")</f>
        <v>46319</v>
      </c>
      <c r="I17" s="1">
        <v>45976</v>
      </c>
      <c r="J17" s="1">
        <f>IFERROR(IF(Sheet1!$I17="","",Sheet1!$I17+365),"")</f>
        <v>46341</v>
      </c>
      <c r="K17" s="2">
        <f>IFERROR(IF(Sheet1!$I17="","",Sheet1!$I17+305),"")</f>
        <v>46281</v>
      </c>
    </row>
    <row r="18" spans="1:11" x14ac:dyDescent="0.35">
      <c r="A18" s="9">
        <v>17</v>
      </c>
      <c r="B18" s="10" t="s">
        <v>67</v>
      </c>
      <c r="C18" s="10" t="s">
        <v>68</v>
      </c>
      <c r="D18" s="11" t="s">
        <v>69</v>
      </c>
      <c r="E18" s="10" t="s">
        <v>37</v>
      </c>
      <c r="F18" s="1">
        <v>45980</v>
      </c>
      <c r="G18" s="1">
        <f>IFERROR(IF(Sheet1!$F18="","",Sheet1!$F18+365),"")</f>
        <v>46345</v>
      </c>
      <c r="H18" s="1">
        <f>IFERROR(IF(Sheet1!$F18="","",Sheet1!$F18+335),"")</f>
        <v>46315</v>
      </c>
      <c r="I18" s="1">
        <v>45937</v>
      </c>
      <c r="J18" s="1">
        <f>IFERROR(IF(Sheet1!$I18="","",Sheet1!$I18+365),"")</f>
        <v>46302</v>
      </c>
      <c r="K18" s="2">
        <f>IFERROR(IF(Sheet1!$I18="","",Sheet1!$I18+305),"")</f>
        <v>46242</v>
      </c>
    </row>
    <row r="19" spans="1:11" x14ac:dyDescent="0.35">
      <c r="A19" s="9">
        <v>18</v>
      </c>
      <c r="B19" s="10" t="s">
        <v>70</v>
      </c>
      <c r="C19" s="10" t="s">
        <v>71</v>
      </c>
      <c r="D19" s="11" t="s">
        <v>72</v>
      </c>
      <c r="E19" s="10" t="s">
        <v>18</v>
      </c>
      <c r="F19" s="1">
        <v>45983</v>
      </c>
      <c r="G19" s="1">
        <f>IFERROR(IF(Sheet1!$F19="","",Sheet1!$F19+365),"")</f>
        <v>46348</v>
      </c>
      <c r="H19" s="1">
        <f>IFERROR(IF(Sheet1!$F19="","",Sheet1!$F19+335),"")</f>
        <v>46318</v>
      </c>
      <c r="I19" s="1">
        <v>45923</v>
      </c>
      <c r="J19" s="1">
        <f>IFERROR(IF(Sheet1!$I19="","",Sheet1!$I19+365),"")</f>
        <v>46288</v>
      </c>
      <c r="K19" s="2">
        <f>IFERROR(IF(Sheet1!$I19="","",Sheet1!$I19+305),"")</f>
        <v>46228</v>
      </c>
    </row>
    <row r="20" spans="1:11" x14ac:dyDescent="0.35">
      <c r="A20" s="9">
        <v>19</v>
      </c>
      <c r="B20" s="10" t="s">
        <v>73</v>
      </c>
      <c r="C20" s="10" t="s">
        <v>74</v>
      </c>
      <c r="D20" s="11" t="s">
        <v>75</v>
      </c>
      <c r="E20" s="10" t="s">
        <v>14</v>
      </c>
      <c r="F20" s="1">
        <v>45978</v>
      </c>
      <c r="G20" s="1">
        <f>IFERROR(IF(Sheet1!$F20="","",Sheet1!$F20+365),"")</f>
        <v>46343</v>
      </c>
      <c r="H20" s="1">
        <f>IFERROR(IF(Sheet1!$F20="","",Sheet1!$F20+335),"")</f>
        <v>46313</v>
      </c>
      <c r="I20" s="1">
        <v>45918</v>
      </c>
      <c r="J20" s="1">
        <f>IFERROR(IF(Sheet1!$I20="","",Sheet1!$I20+365),"")</f>
        <v>46283</v>
      </c>
      <c r="K20" s="2">
        <f>IFERROR(IF(Sheet1!$I20="","",Sheet1!$I20+305),"")</f>
        <v>46223</v>
      </c>
    </row>
    <row r="21" spans="1:11" x14ac:dyDescent="0.35">
      <c r="A21" s="9">
        <v>20</v>
      </c>
      <c r="B21" s="10" t="s">
        <v>76</v>
      </c>
      <c r="C21" s="10" t="s">
        <v>77</v>
      </c>
      <c r="D21" s="11" t="s">
        <v>78</v>
      </c>
      <c r="E21" s="10" t="s">
        <v>14</v>
      </c>
      <c r="F21" s="1">
        <v>45982</v>
      </c>
      <c r="G21" s="1">
        <f>IFERROR(IF(Sheet1!$F21="","",Sheet1!$F21+365),"")</f>
        <v>46347</v>
      </c>
      <c r="H21" s="1">
        <f>IFERROR(IF(Sheet1!$F21="","",Sheet1!$F21+335),"")</f>
        <v>46317</v>
      </c>
      <c r="I21" s="1">
        <v>45940</v>
      </c>
      <c r="J21" s="1">
        <f>IFERROR(IF(Sheet1!$I21="","",Sheet1!$I21+365),"")</f>
        <v>46305</v>
      </c>
      <c r="K21" s="2">
        <f>IFERROR(IF(Sheet1!$I21="","",Sheet1!$I21+305),"")</f>
        <v>46245</v>
      </c>
    </row>
    <row r="22" spans="1:11" x14ac:dyDescent="0.35">
      <c r="A22" s="9">
        <v>21</v>
      </c>
      <c r="B22" s="10" t="s">
        <v>79</v>
      </c>
      <c r="C22" s="10" t="s">
        <v>80</v>
      </c>
      <c r="D22" s="11" t="s">
        <v>81</v>
      </c>
      <c r="E22" s="10" t="s">
        <v>37</v>
      </c>
      <c r="F22" s="1">
        <v>46036</v>
      </c>
      <c r="G22" s="1">
        <f>IFERROR(IF(Sheet1!$F22="","",Sheet1!$F22+365),"")</f>
        <v>46401</v>
      </c>
      <c r="H22" s="1">
        <f>IFERROR(IF(Sheet1!$F22="","",Sheet1!$F22+335),"")</f>
        <v>46371</v>
      </c>
      <c r="I22" s="1">
        <v>46004</v>
      </c>
      <c r="J22" s="1">
        <f>IFERROR(IF(Sheet1!$I22="","",Sheet1!$I22+365),"")</f>
        <v>46369</v>
      </c>
      <c r="K22" s="2">
        <f>IFERROR(IF(Sheet1!$I22="","",Sheet1!$I22+305),"")</f>
        <v>46309</v>
      </c>
    </row>
    <row r="23" spans="1:11" x14ac:dyDescent="0.35">
      <c r="A23" s="9">
        <v>22</v>
      </c>
      <c r="B23" s="10" t="s">
        <v>82</v>
      </c>
      <c r="C23" s="10" t="s">
        <v>83</v>
      </c>
      <c r="D23" s="11" t="s">
        <v>84</v>
      </c>
      <c r="E23" s="10" t="s">
        <v>63</v>
      </c>
      <c r="F23" s="1">
        <v>45981</v>
      </c>
      <c r="G23" s="1">
        <f>IFERROR(IF(Sheet1!$F23="","",Sheet1!$F23+365),"")</f>
        <v>46346</v>
      </c>
      <c r="H23" s="1">
        <f>IFERROR(IF(Sheet1!$F23="","",Sheet1!$F23+335),"")</f>
        <v>46316</v>
      </c>
      <c r="I23" s="1">
        <v>45915</v>
      </c>
      <c r="J23" s="1">
        <f>IFERROR(IF(Sheet1!$I23="","",Sheet1!$I23+365),"")</f>
        <v>46280</v>
      </c>
      <c r="K23" s="2">
        <f>IFERROR(IF(Sheet1!$I23="","",Sheet1!$I23+305),"")</f>
        <v>46220</v>
      </c>
    </row>
    <row r="24" spans="1:11" x14ac:dyDescent="0.35">
      <c r="A24" s="9">
        <v>23</v>
      </c>
      <c r="B24" s="10" t="s">
        <v>85</v>
      </c>
      <c r="C24" s="10" t="s">
        <v>86</v>
      </c>
      <c r="D24" s="11" t="s">
        <v>87</v>
      </c>
      <c r="E24" s="10" t="s">
        <v>88</v>
      </c>
      <c r="F24" s="1">
        <v>45980</v>
      </c>
      <c r="G24" s="1">
        <f>IFERROR(IF(Sheet1!$F24="","",Sheet1!$F24+365),"")</f>
        <v>46345</v>
      </c>
      <c r="H24" s="1">
        <f>IFERROR(IF(Sheet1!$F24="","",Sheet1!$F24+335),"")</f>
        <v>46315</v>
      </c>
      <c r="I24" s="1">
        <v>45994</v>
      </c>
      <c r="J24" s="1">
        <f>IFERROR(IF(Sheet1!$I24="","",Sheet1!$I24+365),"")</f>
        <v>46359</v>
      </c>
      <c r="K24" s="2">
        <f>IFERROR(IF(Sheet1!$I24="","",Sheet1!$I24+305),"")</f>
        <v>46299</v>
      </c>
    </row>
    <row r="25" spans="1:11" x14ac:dyDescent="0.35">
      <c r="A25" s="9">
        <v>24</v>
      </c>
      <c r="B25" s="10" t="s">
        <v>89</v>
      </c>
      <c r="C25" s="10" t="s">
        <v>90</v>
      </c>
      <c r="D25" s="11" t="s">
        <v>91</v>
      </c>
      <c r="E25" s="10" t="s">
        <v>37</v>
      </c>
      <c r="F25" s="1">
        <v>45984</v>
      </c>
      <c r="G25" s="1">
        <f>IFERROR(IF(Sheet1!$F25="","",Sheet1!$F25+365),"")</f>
        <v>46349</v>
      </c>
      <c r="H25" s="1">
        <f>IFERROR(IF(Sheet1!$F25="","",Sheet1!$F25+335),"")</f>
        <v>46319</v>
      </c>
      <c r="I25" s="1">
        <v>45948</v>
      </c>
      <c r="J25" s="1">
        <f>IFERROR(IF(Sheet1!$I25="","",Sheet1!$I25+365),"")</f>
        <v>46313</v>
      </c>
      <c r="K25" s="2">
        <f>IFERROR(IF(Sheet1!$I25="","",Sheet1!$I25+305),"")</f>
        <v>46253</v>
      </c>
    </row>
    <row r="26" spans="1:11" x14ac:dyDescent="0.35">
      <c r="A26" s="9">
        <v>25</v>
      </c>
      <c r="B26" s="10" t="s">
        <v>92</v>
      </c>
      <c r="C26" s="10" t="s">
        <v>93</v>
      </c>
      <c r="D26" s="11" t="s">
        <v>94</v>
      </c>
      <c r="E26" s="10" t="s">
        <v>14</v>
      </c>
      <c r="F26" s="1">
        <v>45979</v>
      </c>
      <c r="G26" s="1">
        <f>IFERROR(IF(Sheet1!$F26="","",Sheet1!$F26+365),"")</f>
        <v>46344</v>
      </c>
      <c r="H26" s="1">
        <f>IFERROR(IF(Sheet1!$F26="","",Sheet1!$F26+335),"")</f>
        <v>46314</v>
      </c>
      <c r="I26" s="1">
        <v>45926</v>
      </c>
      <c r="J26" s="1">
        <f>IFERROR(IF(Sheet1!$I26="","",Sheet1!$I26+365),"")</f>
        <v>46291</v>
      </c>
      <c r="K26" s="2">
        <f>IFERROR(IF(Sheet1!$I26="","",Sheet1!$I26+305),"")</f>
        <v>46231</v>
      </c>
    </row>
    <row r="27" spans="1:11" x14ac:dyDescent="0.35">
      <c r="A27" s="9">
        <v>26</v>
      </c>
      <c r="B27" s="10" t="s">
        <v>95</v>
      </c>
      <c r="C27" s="10" t="s">
        <v>96</v>
      </c>
      <c r="D27" s="11" t="s">
        <v>97</v>
      </c>
      <c r="E27" s="10" t="s">
        <v>14</v>
      </c>
      <c r="F27" s="1">
        <v>45979</v>
      </c>
      <c r="G27" s="1">
        <f>IFERROR(IF(Sheet1!$F27="","",Sheet1!$F27+365),"")</f>
        <v>46344</v>
      </c>
      <c r="H27" s="1">
        <f>IFERROR(IF(Sheet1!$F27="","",Sheet1!$F27+335),"")</f>
        <v>46314</v>
      </c>
      <c r="I27" s="1">
        <v>45977</v>
      </c>
      <c r="J27" s="1">
        <f>IFERROR(IF(Sheet1!$I27="","",Sheet1!$I27+365),"")</f>
        <v>46342</v>
      </c>
      <c r="K27" s="2">
        <f>IFERROR(IF(Sheet1!$I27="","",Sheet1!$I27+305),"")</f>
        <v>46282</v>
      </c>
    </row>
    <row r="28" spans="1:11" x14ac:dyDescent="0.35">
      <c r="A28" s="9">
        <v>27</v>
      </c>
      <c r="B28" s="10" t="s">
        <v>98</v>
      </c>
      <c r="C28" s="10" t="s">
        <v>99</v>
      </c>
      <c r="D28" s="11" t="s">
        <v>100</v>
      </c>
      <c r="E28" s="10" t="s">
        <v>14</v>
      </c>
      <c r="F28" s="1">
        <v>45979</v>
      </c>
      <c r="G28" s="1">
        <f>IFERROR(IF(Sheet1!$F28="","",Sheet1!$F28+365),"")</f>
        <v>46344</v>
      </c>
      <c r="H28" s="1">
        <f>IFERROR(IF(Sheet1!$F28="","",Sheet1!$F28+335),"")</f>
        <v>46314</v>
      </c>
      <c r="I28" s="1">
        <v>45924</v>
      </c>
      <c r="J28" s="1">
        <f>IFERROR(IF(Sheet1!$I28="","",Sheet1!$I28+365),"")</f>
        <v>46289</v>
      </c>
      <c r="K28" s="2">
        <f>IFERROR(IF(Sheet1!$I28="","",Sheet1!$I28+305),"")</f>
        <v>46229</v>
      </c>
    </row>
    <row r="29" spans="1:11" x14ac:dyDescent="0.35">
      <c r="A29" s="9">
        <v>28</v>
      </c>
      <c r="B29" s="10" t="s">
        <v>101</v>
      </c>
      <c r="C29" s="10" t="s">
        <v>102</v>
      </c>
      <c r="D29" s="11" t="s">
        <v>103</v>
      </c>
      <c r="E29" s="10" t="s">
        <v>63</v>
      </c>
      <c r="F29" s="1">
        <v>45982</v>
      </c>
      <c r="G29" s="1">
        <f>IFERROR(IF(Sheet1!$F29="","",Sheet1!$F29+365),"")</f>
        <v>46347</v>
      </c>
      <c r="H29" s="1">
        <f>IFERROR(IF(Sheet1!$F29="","",Sheet1!$F29+335),"")</f>
        <v>46317</v>
      </c>
      <c r="I29" s="1">
        <v>45979</v>
      </c>
      <c r="J29" s="1">
        <f>IFERROR(IF(Sheet1!$I29="","",Sheet1!$I29+365),"")</f>
        <v>46344</v>
      </c>
      <c r="K29" s="2">
        <f>IFERROR(IF(Sheet1!$I29="","",Sheet1!$I29+305),"")</f>
        <v>46284</v>
      </c>
    </row>
    <row r="30" spans="1:11" x14ac:dyDescent="0.35">
      <c r="A30" s="9">
        <v>29</v>
      </c>
      <c r="B30" s="10" t="s">
        <v>104</v>
      </c>
      <c r="C30" s="10" t="s">
        <v>105</v>
      </c>
      <c r="D30" s="11" t="s">
        <v>106</v>
      </c>
      <c r="E30" s="10" t="s">
        <v>107</v>
      </c>
      <c r="F30" s="1">
        <v>46004</v>
      </c>
      <c r="G30" s="1">
        <f>IFERROR(IF(Sheet1!$F30="","",Sheet1!$F30+365),"")</f>
        <v>46369</v>
      </c>
      <c r="H30" s="1">
        <f>IFERROR(IF(Sheet1!$F30="","",Sheet1!$F30+335),"")</f>
        <v>46339</v>
      </c>
      <c r="I30" s="1">
        <v>45926</v>
      </c>
      <c r="J30" s="1">
        <f>IFERROR(IF(Sheet1!$I30="","",Sheet1!$I30+365),"")</f>
        <v>46291</v>
      </c>
      <c r="K30" s="2">
        <f>IFERROR(IF(Sheet1!$I30="","",Sheet1!$I30+305),"")</f>
        <v>46231</v>
      </c>
    </row>
    <row r="31" spans="1:11" x14ac:dyDescent="0.35">
      <c r="A31" s="9">
        <v>30</v>
      </c>
      <c r="B31" s="10" t="s">
        <v>108</v>
      </c>
      <c r="C31" s="10" t="s">
        <v>109</v>
      </c>
      <c r="D31" s="11" t="s">
        <v>110</v>
      </c>
      <c r="E31" s="10" t="s">
        <v>37</v>
      </c>
      <c r="F31" s="1">
        <v>45979</v>
      </c>
      <c r="G31" s="1">
        <f>IFERROR(IF(Sheet1!$F31="","",Sheet1!$F31+365),"")</f>
        <v>46344</v>
      </c>
      <c r="H31" s="1">
        <f>IFERROR(IF(Sheet1!$F31="","",Sheet1!$F31+335),"")</f>
        <v>46314</v>
      </c>
      <c r="I31" s="1">
        <v>45993</v>
      </c>
      <c r="J31" s="1">
        <f>IFERROR(IF(Sheet1!$I31="","",Sheet1!$I31+365),"")</f>
        <v>46358</v>
      </c>
      <c r="K31" s="2">
        <f>IFERROR(IF(Sheet1!$I31="","",Sheet1!$I31+305),"")</f>
        <v>46298</v>
      </c>
    </row>
    <row r="32" spans="1:11" x14ac:dyDescent="0.35">
      <c r="A32" s="9">
        <v>31</v>
      </c>
      <c r="B32" s="10" t="s">
        <v>111</v>
      </c>
      <c r="C32" s="10" t="s">
        <v>112</v>
      </c>
      <c r="D32" s="11" t="s">
        <v>113</v>
      </c>
      <c r="E32" s="10" t="s">
        <v>18</v>
      </c>
      <c r="F32" s="1">
        <v>45821</v>
      </c>
      <c r="G32" s="1">
        <f>IFERROR(IF(Sheet1!$F32="","",Sheet1!$F32+365),"")</f>
        <v>46186</v>
      </c>
      <c r="H32" s="1">
        <f>IFERROR(IF(Sheet1!$F32="","",Sheet1!$F32+335),"")</f>
        <v>46156</v>
      </c>
      <c r="I32" s="1">
        <v>45820</v>
      </c>
      <c r="J32" s="1">
        <f>IFERROR(IF(Sheet1!$I32="","",Sheet1!$I32+365),"")</f>
        <v>46185</v>
      </c>
      <c r="K32" s="2">
        <f>IFERROR(IF(Sheet1!$I32="","",Sheet1!$I32+305),"")</f>
        <v>46125</v>
      </c>
    </row>
    <row r="33" spans="1:11" x14ac:dyDescent="0.35">
      <c r="A33" s="9">
        <v>32</v>
      </c>
      <c r="B33" s="10" t="s">
        <v>114</v>
      </c>
      <c r="C33" s="10" t="s">
        <v>115</v>
      </c>
      <c r="D33" s="11" t="s">
        <v>116</v>
      </c>
      <c r="E33" s="10" t="s">
        <v>14</v>
      </c>
      <c r="F33" s="1">
        <v>46038</v>
      </c>
      <c r="G33" s="1">
        <f>IFERROR(IF(Sheet1!$F33="","",Sheet1!$F33+365),"")</f>
        <v>46403</v>
      </c>
      <c r="H33" s="1">
        <f>IFERROR(IF(Sheet1!$F33="","",Sheet1!$F33+335),"")</f>
        <v>46373</v>
      </c>
      <c r="I33" s="1">
        <v>45978</v>
      </c>
      <c r="J33" s="1">
        <f>IFERROR(IF(Sheet1!$I33="","",Sheet1!$I33+365),"")</f>
        <v>46343</v>
      </c>
      <c r="K33" s="2">
        <f>IFERROR(IF(Sheet1!$I33="","",Sheet1!$I33+305),"")</f>
        <v>46283</v>
      </c>
    </row>
    <row r="34" spans="1:11" x14ac:dyDescent="0.35">
      <c r="A34" s="9">
        <v>33</v>
      </c>
      <c r="B34" s="10" t="s">
        <v>117</v>
      </c>
      <c r="C34" s="10" t="s">
        <v>118</v>
      </c>
      <c r="D34" s="11" t="s">
        <v>119</v>
      </c>
      <c r="E34" s="10" t="s">
        <v>18</v>
      </c>
      <c r="F34" s="1">
        <v>45979</v>
      </c>
      <c r="G34" s="1">
        <f>IFERROR(IF(Sheet1!$F34="","",Sheet1!$F34+365),"")</f>
        <v>46344</v>
      </c>
      <c r="H34" s="1">
        <f>IFERROR(IF(Sheet1!$F34="","",Sheet1!$F34+335),"")</f>
        <v>46314</v>
      </c>
      <c r="I34" s="1">
        <v>45924</v>
      </c>
      <c r="J34" s="1">
        <f>IFERROR(IF(Sheet1!$I34="","",Sheet1!$I34+365),"")</f>
        <v>46289</v>
      </c>
      <c r="K34" s="2">
        <f>IFERROR(IF(Sheet1!$I34="","",Sheet1!$I34+305),"")</f>
        <v>46229</v>
      </c>
    </row>
    <row r="35" spans="1:11" x14ac:dyDescent="0.35">
      <c r="A35" s="9">
        <v>34</v>
      </c>
      <c r="B35" s="12" t="s">
        <v>120</v>
      </c>
      <c r="C35" s="12" t="s">
        <v>121</v>
      </c>
      <c r="D35" s="13" t="s">
        <v>122</v>
      </c>
      <c r="E35" s="10" t="s">
        <v>18</v>
      </c>
      <c r="F35" s="14">
        <v>45981</v>
      </c>
      <c r="G35" s="1">
        <f>IFERROR(IF(Sheet1!$F35="","",Sheet1!$F35+365),"")</f>
        <v>46346</v>
      </c>
      <c r="H35" s="1">
        <f>IFERROR(IF(Sheet1!$F35="","",Sheet1!$F35+335),"")</f>
        <v>46316</v>
      </c>
      <c r="I35" s="14">
        <v>45973</v>
      </c>
      <c r="J35" s="1">
        <f>IFERROR(IF(Sheet1!$I35="","",Sheet1!$I35+365),"")</f>
        <v>46338</v>
      </c>
      <c r="K35" s="2">
        <f>IFERROR(IF(Sheet1!$I35="","",Sheet1!$I35+305),"")</f>
        <v>46278</v>
      </c>
    </row>
    <row r="36" spans="1:11" x14ac:dyDescent="0.35">
      <c r="A36" s="9">
        <v>35</v>
      </c>
      <c r="B36" s="10" t="s">
        <v>123</v>
      </c>
      <c r="C36" s="10" t="s">
        <v>124</v>
      </c>
      <c r="D36" s="11" t="s">
        <v>125</v>
      </c>
      <c r="E36" s="10" t="s">
        <v>14</v>
      </c>
      <c r="F36" s="1">
        <v>45993</v>
      </c>
      <c r="G36" s="1">
        <f>IFERROR(IF(Sheet1!$F36="","",Sheet1!$F36+365),"")</f>
        <v>46358</v>
      </c>
      <c r="H36" s="1">
        <f>IFERROR(IF(Sheet1!$F36="","",Sheet1!$F36+335),"")</f>
        <v>46328</v>
      </c>
      <c r="I36" s="1">
        <v>45918</v>
      </c>
      <c r="J36" s="1">
        <f>IFERROR(IF(Sheet1!$I36="","",Sheet1!$I36+365),"")</f>
        <v>46283</v>
      </c>
      <c r="K36" s="2">
        <f>IFERROR(IF(Sheet1!$I36="","",Sheet1!$I36+305),"")</f>
        <v>46223</v>
      </c>
    </row>
    <row r="37" spans="1:11" x14ac:dyDescent="0.35">
      <c r="A37" s="9">
        <v>36</v>
      </c>
      <c r="B37" s="10" t="s">
        <v>126</v>
      </c>
      <c r="C37" s="10" t="s">
        <v>127</v>
      </c>
      <c r="D37" s="11" t="s">
        <v>128</v>
      </c>
      <c r="E37" s="10" t="s">
        <v>26</v>
      </c>
      <c r="F37" s="1">
        <v>45979</v>
      </c>
      <c r="G37" s="1">
        <f>IFERROR(IF(Sheet1!$F37="","",Sheet1!$F37+365),"")</f>
        <v>46344</v>
      </c>
      <c r="H37" s="1">
        <f>IFERROR(IF(Sheet1!$F37="","",Sheet1!$F37+335),"")</f>
        <v>46314</v>
      </c>
      <c r="I37" s="1">
        <v>45918</v>
      </c>
      <c r="J37" s="1">
        <f>IFERROR(IF(Sheet1!$I37="","",Sheet1!$I37+365),"")</f>
        <v>46283</v>
      </c>
      <c r="K37" s="2">
        <f>IFERROR(IF(Sheet1!$I37="","",Sheet1!$I37+305),"")</f>
        <v>46223</v>
      </c>
    </row>
    <row r="38" spans="1:11" x14ac:dyDescent="0.35">
      <c r="A38" s="9">
        <v>37</v>
      </c>
      <c r="B38" s="10" t="s">
        <v>129</v>
      </c>
      <c r="C38" s="10" t="s">
        <v>130</v>
      </c>
      <c r="D38" s="11" t="s">
        <v>131</v>
      </c>
      <c r="E38" s="10" t="s">
        <v>14</v>
      </c>
      <c r="F38" s="1">
        <v>45990</v>
      </c>
      <c r="G38" s="1">
        <f>IFERROR(IF(Sheet1!$F38="","",Sheet1!$F38+365),"")</f>
        <v>46355</v>
      </c>
      <c r="H38" s="1">
        <f>IFERROR(IF(Sheet1!$F38="","",Sheet1!$F38+335),"")</f>
        <v>46325</v>
      </c>
      <c r="I38" s="1">
        <v>45910</v>
      </c>
      <c r="J38" s="1">
        <f>IFERROR(IF(Sheet1!$I38="","",Sheet1!$I38+365),"")</f>
        <v>46275</v>
      </c>
      <c r="K38" s="2">
        <f>IFERROR(IF(Sheet1!$I38="","",Sheet1!$I38+305),"")</f>
        <v>46215</v>
      </c>
    </row>
    <row r="39" spans="1:11" x14ac:dyDescent="0.35">
      <c r="A39" s="9">
        <v>38</v>
      </c>
      <c r="B39" s="10" t="s">
        <v>132</v>
      </c>
      <c r="C39" s="10" t="s">
        <v>133</v>
      </c>
      <c r="D39" s="11" t="s">
        <v>134</v>
      </c>
      <c r="E39" s="10" t="s">
        <v>14</v>
      </c>
      <c r="F39" s="1">
        <v>45982</v>
      </c>
      <c r="G39" s="1">
        <f>IFERROR(IF(Sheet1!$F39="","",Sheet1!$F39+365),"")</f>
        <v>46347</v>
      </c>
      <c r="H39" s="1">
        <f>IFERROR(IF(Sheet1!$F39="","",Sheet1!$F39+335),"")</f>
        <v>46317</v>
      </c>
      <c r="I39" s="1">
        <v>45911</v>
      </c>
      <c r="J39" s="1">
        <f>IFERROR(IF(Sheet1!$I39="","",Sheet1!$I39+365),"")</f>
        <v>46276</v>
      </c>
      <c r="K39" s="2">
        <f>IFERROR(IF(Sheet1!$I39="","",Sheet1!$I39+305),"")</f>
        <v>46216</v>
      </c>
    </row>
    <row r="40" spans="1:11" x14ac:dyDescent="0.35">
      <c r="A40" s="9">
        <v>39</v>
      </c>
      <c r="B40" s="10" t="s">
        <v>135</v>
      </c>
      <c r="C40" s="10" t="s">
        <v>136</v>
      </c>
      <c r="D40" s="11" t="s">
        <v>137</v>
      </c>
      <c r="E40" s="10" t="s">
        <v>37</v>
      </c>
      <c r="F40" s="1">
        <v>45908</v>
      </c>
      <c r="G40" s="1">
        <f>IFERROR(IF(Sheet1!$F40="","",Sheet1!$F40+365),"")</f>
        <v>46273</v>
      </c>
      <c r="H40" s="1">
        <f>IFERROR(IF(Sheet1!$F40="","",Sheet1!$F40+335),"")</f>
        <v>46243</v>
      </c>
      <c r="I40" s="1">
        <v>45898</v>
      </c>
      <c r="J40" s="1">
        <f>IFERROR(IF(Sheet1!$I40="","",Sheet1!$I40+365),"")</f>
        <v>46263</v>
      </c>
      <c r="K40" s="2">
        <f>IFERROR(IF(Sheet1!$I40="","",Sheet1!$I40+305),"")</f>
        <v>46203</v>
      </c>
    </row>
    <row r="41" spans="1:11" x14ac:dyDescent="0.35">
      <c r="A41" s="9">
        <v>40</v>
      </c>
      <c r="B41" s="10" t="s">
        <v>138</v>
      </c>
      <c r="C41" s="10" t="s">
        <v>139</v>
      </c>
      <c r="D41" s="15" t="s">
        <v>140</v>
      </c>
      <c r="E41" s="10" t="s">
        <v>141</v>
      </c>
      <c r="F41" s="1">
        <v>46002</v>
      </c>
      <c r="G41" s="1">
        <f>IFERROR(IF(Sheet1!$F41="","",Sheet1!$F41+365),"")</f>
        <v>46367</v>
      </c>
      <c r="H41" s="1">
        <f>IFERROR(IF(Sheet1!$F41="","",Sheet1!$F41+335),"")</f>
        <v>46337</v>
      </c>
      <c r="I41" s="1">
        <v>46002</v>
      </c>
      <c r="J41" s="1">
        <f>IFERROR(IF(Sheet1!$I41="","",Sheet1!$I41+365),"")</f>
        <v>46367</v>
      </c>
      <c r="K41" s="2">
        <f>IFERROR(IF(Sheet1!$I41="","",Sheet1!$I41+305),"")</f>
        <v>46307</v>
      </c>
    </row>
    <row r="42" spans="1:11" x14ac:dyDescent="0.35">
      <c r="A42" s="9">
        <v>41</v>
      </c>
      <c r="B42" s="10" t="s">
        <v>142</v>
      </c>
      <c r="C42" s="10" t="s">
        <v>143</v>
      </c>
      <c r="D42" s="11" t="s">
        <v>144</v>
      </c>
      <c r="E42" s="10" t="s">
        <v>37</v>
      </c>
      <c r="F42" s="1">
        <v>45997</v>
      </c>
      <c r="G42" s="1">
        <f>IFERROR(IF(Sheet1!$F42="","",Sheet1!$F42+365),"")</f>
        <v>46362</v>
      </c>
      <c r="H42" s="1">
        <f>IFERROR(IF(Sheet1!$F42="","",Sheet1!$F42+335),"")</f>
        <v>46332</v>
      </c>
      <c r="I42" s="1">
        <v>45975</v>
      </c>
      <c r="J42" s="1">
        <f>IFERROR(IF(Sheet1!$I42="","",Sheet1!$I42+365),"")</f>
        <v>46340</v>
      </c>
      <c r="K42" s="2">
        <f>IFERROR(IF(Sheet1!$I42="","",Sheet1!$I42+305),"")</f>
        <v>46280</v>
      </c>
    </row>
    <row r="43" spans="1:11" x14ac:dyDescent="0.35">
      <c r="A43" s="9">
        <v>42</v>
      </c>
      <c r="B43" s="10" t="s">
        <v>145</v>
      </c>
      <c r="C43" s="10" t="s">
        <v>146</v>
      </c>
      <c r="D43" s="11" t="s">
        <v>147</v>
      </c>
      <c r="E43" s="10" t="s">
        <v>14</v>
      </c>
      <c r="F43" s="1">
        <v>45980</v>
      </c>
      <c r="G43" s="1">
        <f>IFERROR(IF(Sheet1!$F43="","",Sheet1!$F43+365),"")</f>
        <v>46345</v>
      </c>
      <c r="H43" s="1">
        <f>IFERROR(IF(Sheet1!$F43="","",Sheet1!$F43+335),"")</f>
        <v>46315</v>
      </c>
      <c r="I43" s="1">
        <v>45931</v>
      </c>
      <c r="J43" s="1">
        <f>IFERROR(IF(Sheet1!$I43="","",Sheet1!$I43+365),"")</f>
        <v>46296</v>
      </c>
      <c r="K43" s="2">
        <f>IFERROR(IF(Sheet1!$I43="","",Sheet1!$I43+305),"")</f>
        <v>46236</v>
      </c>
    </row>
    <row r="44" spans="1:11" x14ac:dyDescent="0.35">
      <c r="A44" s="9">
        <v>43</v>
      </c>
      <c r="B44" s="10" t="s">
        <v>148</v>
      </c>
      <c r="C44" s="10" t="s">
        <v>149</v>
      </c>
      <c r="D44" s="15" t="s">
        <v>150</v>
      </c>
      <c r="E44" s="10" t="s">
        <v>141</v>
      </c>
      <c r="F44" s="1">
        <v>46001</v>
      </c>
      <c r="G44" s="1">
        <f>IFERROR(IF(Sheet1!$F44="","",Sheet1!$F44+365),"")</f>
        <v>46366</v>
      </c>
      <c r="H44" s="1">
        <f>IFERROR(IF(Sheet1!$F44="","",Sheet1!$F44+335),"")</f>
        <v>46336</v>
      </c>
      <c r="I44" s="1">
        <v>46001</v>
      </c>
      <c r="J44" s="1">
        <f>IFERROR(IF(Sheet1!$I44="","",Sheet1!$I44+365),"")</f>
        <v>46366</v>
      </c>
      <c r="K44" s="2">
        <f>IFERROR(IF(Sheet1!$I44="","",Sheet1!$I44+305),"")</f>
        <v>46306</v>
      </c>
    </row>
    <row r="45" spans="1:11" x14ac:dyDescent="0.35">
      <c r="A45" s="9">
        <v>44</v>
      </c>
      <c r="B45" s="10" t="s">
        <v>151</v>
      </c>
      <c r="C45" s="10" t="s">
        <v>152</v>
      </c>
      <c r="D45" s="11" t="s">
        <v>153</v>
      </c>
      <c r="E45" s="10" t="s">
        <v>14</v>
      </c>
      <c r="F45" s="1">
        <v>45978</v>
      </c>
      <c r="G45" s="1">
        <f>IFERROR(IF(Sheet1!$F45="","",Sheet1!$F45+365),"")</f>
        <v>46343</v>
      </c>
      <c r="H45" s="1">
        <f>IFERROR(IF(Sheet1!$F45="","",Sheet1!$F45+335),"")</f>
        <v>46313</v>
      </c>
      <c r="I45" s="1">
        <v>45904</v>
      </c>
      <c r="J45" s="1">
        <f>IFERROR(IF(Sheet1!$I45="","",Sheet1!$I45+365),"")</f>
        <v>46269</v>
      </c>
      <c r="K45" s="2">
        <f>IFERROR(IF(Sheet1!$I45="","",Sheet1!$I45+305),"")</f>
        <v>46209</v>
      </c>
    </row>
    <row r="46" spans="1:11" x14ac:dyDescent="0.35">
      <c r="A46" s="9">
        <v>45</v>
      </c>
      <c r="B46" s="10" t="s">
        <v>154</v>
      </c>
      <c r="C46" s="10" t="s">
        <v>155</v>
      </c>
      <c r="D46" s="11" t="s">
        <v>156</v>
      </c>
      <c r="E46" s="10" t="s">
        <v>14</v>
      </c>
      <c r="F46" s="1">
        <v>45981</v>
      </c>
      <c r="G46" s="1">
        <f>IFERROR(IF(Sheet1!$F46="","",Sheet1!$F46+365),"")</f>
        <v>46346</v>
      </c>
      <c r="H46" s="1">
        <f>IFERROR(IF(Sheet1!$F46="","",Sheet1!$F46+335),"")</f>
        <v>46316</v>
      </c>
      <c r="I46" s="1">
        <v>45912</v>
      </c>
      <c r="J46" s="1">
        <f>IFERROR(IF(Sheet1!$I46="","",Sheet1!$I46+365),"")</f>
        <v>46277</v>
      </c>
      <c r="K46" s="2">
        <f>IFERROR(IF(Sheet1!$I46="","",Sheet1!$I46+305),"")</f>
        <v>46217</v>
      </c>
    </row>
    <row r="47" spans="1:11" x14ac:dyDescent="0.35">
      <c r="A47" s="9">
        <v>46</v>
      </c>
      <c r="B47" s="10" t="s">
        <v>157</v>
      </c>
      <c r="C47" s="10" t="s">
        <v>158</v>
      </c>
      <c r="D47" s="11" t="s">
        <v>159</v>
      </c>
      <c r="E47" s="10" t="s">
        <v>26</v>
      </c>
      <c r="F47" s="1">
        <v>45982</v>
      </c>
      <c r="G47" s="1">
        <f>IFERROR(IF(Sheet1!$F47="","",Sheet1!$F47+365),"")</f>
        <v>46347</v>
      </c>
      <c r="H47" s="1">
        <f>IFERROR(IF(Sheet1!$F47="","",Sheet1!$F47+335),"")</f>
        <v>46317</v>
      </c>
      <c r="I47" s="1">
        <v>45918</v>
      </c>
      <c r="J47" s="1">
        <f>IFERROR(IF(Sheet1!$I47="","",Sheet1!$I47+365),"")</f>
        <v>46283</v>
      </c>
      <c r="K47" s="2">
        <f>IFERROR(IF(Sheet1!$I47="","",Sheet1!$I47+305),"")</f>
        <v>46223</v>
      </c>
    </row>
    <row r="48" spans="1:11" x14ac:dyDescent="0.35">
      <c r="A48" s="9">
        <v>47</v>
      </c>
      <c r="B48" s="10" t="s">
        <v>160</v>
      </c>
      <c r="C48" s="10" t="s">
        <v>161</v>
      </c>
      <c r="D48" s="10" t="s">
        <v>162</v>
      </c>
      <c r="E48" s="10" t="s">
        <v>33</v>
      </c>
      <c r="F48" s="1">
        <v>45991</v>
      </c>
      <c r="G48" s="1">
        <f>IFERROR(IF(Sheet1!$F48="","",Sheet1!$F48+365),"")</f>
        <v>46356</v>
      </c>
      <c r="H48" s="1">
        <f>IFERROR(IF(Sheet1!$F48="","",Sheet1!$F48+335),"")</f>
        <v>46326</v>
      </c>
      <c r="I48" s="1">
        <v>45939</v>
      </c>
      <c r="J48" s="1">
        <f>IFERROR(IF(Sheet1!$I48="","",Sheet1!$I48+365),"")</f>
        <v>46304</v>
      </c>
      <c r="K48" s="2">
        <f>IFERROR(IF(Sheet1!$I48="","",Sheet1!$I48+305),"")</f>
        <v>46244</v>
      </c>
    </row>
    <row r="49" spans="1:11" x14ac:dyDescent="0.35">
      <c r="A49" s="9">
        <v>48</v>
      </c>
      <c r="B49" s="10" t="s">
        <v>163</v>
      </c>
      <c r="C49" s="10" t="s">
        <v>164</v>
      </c>
      <c r="D49" s="11" t="s">
        <v>165</v>
      </c>
      <c r="E49" s="10" t="s">
        <v>26</v>
      </c>
      <c r="F49" s="1">
        <v>45979</v>
      </c>
      <c r="G49" s="1">
        <f>IFERROR(IF(Sheet1!$F49="","",Sheet1!$F49+365),"")</f>
        <v>46344</v>
      </c>
      <c r="H49" s="1">
        <f>IFERROR(IF(Sheet1!$F49="","",Sheet1!$F49+335),"")</f>
        <v>46314</v>
      </c>
      <c r="I49" s="1">
        <v>45922</v>
      </c>
      <c r="J49" s="1">
        <f>IFERROR(IF(Sheet1!$I49="","",Sheet1!$I49+365),"")</f>
        <v>46287</v>
      </c>
      <c r="K49" s="2">
        <f>IFERROR(IF(Sheet1!$I49="","",Sheet1!$I49+305),"")</f>
        <v>46227</v>
      </c>
    </row>
    <row r="50" spans="1:11" x14ac:dyDescent="0.35">
      <c r="A50" s="9">
        <v>49</v>
      </c>
      <c r="B50" s="10" t="s">
        <v>166</v>
      </c>
      <c r="C50" s="10" t="s">
        <v>167</v>
      </c>
      <c r="D50" s="11" t="s">
        <v>168</v>
      </c>
      <c r="E50" s="10" t="s">
        <v>14</v>
      </c>
      <c r="F50" s="1">
        <v>45978</v>
      </c>
      <c r="G50" s="1">
        <f>IFERROR(IF(Sheet1!$F50="","",Sheet1!$F50+365),"")</f>
        <v>46343</v>
      </c>
      <c r="H50" s="1">
        <f>IFERROR(IF(Sheet1!$F50="","",Sheet1!$F50+335),"")</f>
        <v>46313</v>
      </c>
      <c r="I50" s="1">
        <v>45918</v>
      </c>
      <c r="J50" s="1">
        <f>IFERROR(IF(Sheet1!$I50="","",Sheet1!$I50+365),"")</f>
        <v>46283</v>
      </c>
      <c r="K50" s="2">
        <f>IFERROR(IF(Sheet1!$I50="","",Sheet1!$I50+305),"")</f>
        <v>46223</v>
      </c>
    </row>
    <row r="51" spans="1:11" x14ac:dyDescent="0.35">
      <c r="A51" s="9">
        <v>50</v>
      </c>
      <c r="B51" s="10" t="s">
        <v>169</v>
      </c>
      <c r="C51" s="10" t="s">
        <v>170</v>
      </c>
      <c r="D51" s="10" t="s">
        <v>171</v>
      </c>
      <c r="E51" s="10" t="s">
        <v>172</v>
      </c>
      <c r="F51" s="1"/>
      <c r="G51" s="1" t="str">
        <f>IFERROR(IF(Sheet1!$F51="","",Sheet1!$F51+365),"")</f>
        <v/>
      </c>
      <c r="H51" s="1" t="str">
        <f>IFERROR(IF(Sheet1!$F51="","",Sheet1!$F51+335),"")</f>
        <v/>
      </c>
      <c r="I51" s="1"/>
      <c r="J51" s="1" t="str">
        <f>IFERROR(IF(Sheet1!$I51="","",Sheet1!$I51+365),"")</f>
        <v/>
      </c>
      <c r="K51" s="2" t="str">
        <f>IFERROR(IF(Sheet1!$I51="","",Sheet1!$I51+305),"")</f>
        <v/>
      </c>
    </row>
    <row r="52" spans="1:11" x14ac:dyDescent="0.35">
      <c r="A52" s="9">
        <v>51</v>
      </c>
      <c r="B52" s="10" t="s">
        <v>173</v>
      </c>
      <c r="C52" s="10" t="s">
        <v>174</v>
      </c>
      <c r="D52" s="11" t="s">
        <v>175</v>
      </c>
      <c r="E52" s="10" t="s">
        <v>56</v>
      </c>
      <c r="F52" s="1">
        <v>45805</v>
      </c>
      <c r="G52" s="1">
        <f>IFERROR(IF(Sheet1!$F52="","",Sheet1!$F52+365),"")</f>
        <v>46170</v>
      </c>
      <c r="H52" s="1">
        <f>IFERROR(IF(Sheet1!$F52="","",Sheet1!$F52+335),"")</f>
        <v>46140</v>
      </c>
      <c r="I52" s="1">
        <v>45803</v>
      </c>
      <c r="J52" s="1">
        <f>IFERROR(IF(Sheet1!$I52="","",Sheet1!$I52+365),"")</f>
        <v>46168</v>
      </c>
      <c r="K52" s="2">
        <f>IFERROR(IF(Sheet1!$I52="","",Sheet1!$I52+305),"")</f>
        <v>46108</v>
      </c>
    </row>
    <row r="53" spans="1:11" x14ac:dyDescent="0.35">
      <c r="A53" s="9">
        <v>52</v>
      </c>
      <c r="B53" s="10" t="s">
        <v>176</v>
      </c>
      <c r="C53" s="12" t="s">
        <v>177</v>
      </c>
      <c r="D53" s="11" t="s">
        <v>178</v>
      </c>
      <c r="E53" s="10" t="s">
        <v>56</v>
      </c>
      <c r="F53" s="1">
        <v>45995</v>
      </c>
      <c r="G53" s="1">
        <f>IFERROR(IF(Sheet1!$F53="","",Sheet1!$F53+365),"")</f>
        <v>46360</v>
      </c>
      <c r="H53" s="1">
        <f>IFERROR(IF(Sheet1!$F53="","",Sheet1!$F53+335),"")</f>
        <v>46330</v>
      </c>
      <c r="I53" s="1">
        <v>45966</v>
      </c>
      <c r="J53" s="1">
        <f>IFERROR(IF(Sheet1!$I53="","",Sheet1!$I53+365),"")</f>
        <v>46331</v>
      </c>
      <c r="K53" s="2">
        <f>IFERROR(IF(Sheet1!$I53="","",Sheet1!$I53+305),"")</f>
        <v>46271</v>
      </c>
    </row>
    <row r="54" spans="1:11" x14ac:dyDescent="0.35">
      <c r="A54" s="9">
        <v>53</v>
      </c>
      <c r="B54" s="10" t="s">
        <v>179</v>
      </c>
      <c r="C54" s="10" t="s">
        <v>180</v>
      </c>
      <c r="D54" s="11" t="s">
        <v>181</v>
      </c>
      <c r="E54" s="10" t="s">
        <v>14</v>
      </c>
      <c r="F54" s="1">
        <v>46002</v>
      </c>
      <c r="G54" s="1">
        <f>IFERROR(IF(Sheet1!$F54="","",Sheet1!$F54+365),"")</f>
        <v>46367</v>
      </c>
      <c r="H54" s="1">
        <f>IFERROR(IF(Sheet1!$F54="","",Sheet1!$F54+335),"")</f>
        <v>46337</v>
      </c>
      <c r="I54" s="1">
        <v>45973</v>
      </c>
      <c r="J54" s="1">
        <f>IFERROR(IF(Sheet1!$I54="","",Sheet1!$I54+365),"")</f>
        <v>46338</v>
      </c>
      <c r="K54" s="2">
        <f>IFERROR(IF(Sheet1!$I54="","",Sheet1!$I54+305),"")</f>
        <v>46278</v>
      </c>
    </row>
    <row r="55" spans="1:11" x14ac:dyDescent="0.35">
      <c r="A55" s="9">
        <v>54</v>
      </c>
      <c r="B55" s="10" t="s">
        <v>182</v>
      </c>
      <c r="C55" s="10" t="s">
        <v>183</v>
      </c>
      <c r="D55" s="11" t="s">
        <v>184</v>
      </c>
      <c r="E55" s="10" t="s">
        <v>37</v>
      </c>
      <c r="F55" s="1">
        <v>45985</v>
      </c>
      <c r="G55" s="1">
        <f>IFERROR(IF(Sheet1!$F55="","",Sheet1!$F55+365),"")</f>
        <v>46350</v>
      </c>
      <c r="H55" s="1">
        <f>IFERROR(IF(Sheet1!$F55="","",Sheet1!$F55+335),"")</f>
        <v>46320</v>
      </c>
      <c r="I55" s="1">
        <v>45970</v>
      </c>
      <c r="J55" s="1">
        <f>IFERROR(IF(Sheet1!$I55="","",Sheet1!$I55+365),"")</f>
        <v>46335</v>
      </c>
      <c r="K55" s="2">
        <f>IFERROR(IF(Sheet1!$I55="","",Sheet1!$I55+305),"")</f>
        <v>46275</v>
      </c>
    </row>
    <row r="56" spans="1:11" x14ac:dyDescent="0.35">
      <c r="A56" s="9">
        <v>55</v>
      </c>
      <c r="B56" s="10" t="s">
        <v>185</v>
      </c>
      <c r="C56" s="10" t="s">
        <v>186</v>
      </c>
      <c r="D56" s="11" t="s">
        <v>187</v>
      </c>
      <c r="E56" s="10" t="s">
        <v>14</v>
      </c>
      <c r="F56" s="1">
        <v>45988</v>
      </c>
      <c r="G56" s="1">
        <f>IFERROR(IF(Sheet1!$F56="","",Sheet1!$F56+365),"")</f>
        <v>46353</v>
      </c>
      <c r="H56" s="1">
        <f>IFERROR(IF(Sheet1!$F56="","",Sheet1!$F56+335),"")</f>
        <v>46323</v>
      </c>
      <c r="I56" s="1">
        <v>45932</v>
      </c>
      <c r="J56" s="1">
        <f>IFERROR(IF(Sheet1!$I56="","",Sheet1!$I56+365),"")</f>
        <v>46297</v>
      </c>
      <c r="K56" s="2">
        <f>IFERROR(IF(Sheet1!$I56="","",Sheet1!$I56+305),"")</f>
        <v>46237</v>
      </c>
    </row>
    <row r="57" spans="1:11" x14ac:dyDescent="0.35">
      <c r="A57" s="9">
        <v>56</v>
      </c>
      <c r="B57" s="10" t="s">
        <v>188</v>
      </c>
      <c r="C57" s="10" t="s">
        <v>189</v>
      </c>
      <c r="D57" s="11" t="s">
        <v>190</v>
      </c>
      <c r="E57" s="10" t="s">
        <v>37</v>
      </c>
      <c r="F57" s="1">
        <v>45992</v>
      </c>
      <c r="G57" s="1">
        <f>IFERROR(IF(Sheet1!$F57="","",Sheet1!$F57+365),"")</f>
        <v>46357</v>
      </c>
      <c r="H57" s="1">
        <f>IFERROR(IF(Sheet1!$F57="","",Sheet1!$F57+335),"")</f>
        <v>46327</v>
      </c>
      <c r="I57" s="1">
        <v>45975</v>
      </c>
      <c r="J57" s="1">
        <f>IFERROR(IF(Sheet1!$I57="","",Sheet1!$I57+365),"")</f>
        <v>46340</v>
      </c>
      <c r="K57" s="2">
        <f>IFERROR(IF(Sheet1!$I57="","",Sheet1!$I57+305),"")</f>
        <v>46280</v>
      </c>
    </row>
    <row r="58" spans="1:11" x14ac:dyDescent="0.35">
      <c r="A58" s="9">
        <v>57</v>
      </c>
      <c r="B58" s="10" t="s">
        <v>191</v>
      </c>
      <c r="C58" s="10" t="s">
        <v>192</v>
      </c>
      <c r="D58" s="11" t="s">
        <v>193</v>
      </c>
      <c r="E58" s="10" t="s">
        <v>22</v>
      </c>
      <c r="F58" s="1">
        <v>45992</v>
      </c>
      <c r="G58" s="1">
        <f>IFERROR(IF(Sheet1!$F58="","",Sheet1!$F58+365),"")</f>
        <v>46357</v>
      </c>
      <c r="H58" s="1">
        <f>IFERROR(IF(Sheet1!$F58="","",Sheet1!$F58+335),"")</f>
        <v>46327</v>
      </c>
      <c r="I58" s="1">
        <v>45905</v>
      </c>
      <c r="J58" s="1">
        <f>IFERROR(IF(Sheet1!$I58="","",Sheet1!$I58+365),"")</f>
        <v>46270</v>
      </c>
      <c r="K58" s="2">
        <f>IFERROR(IF(Sheet1!$I58="","",Sheet1!$I58+305),"")</f>
        <v>46210</v>
      </c>
    </row>
    <row r="59" spans="1:11" x14ac:dyDescent="0.35">
      <c r="A59" s="9">
        <v>58</v>
      </c>
      <c r="B59" s="10" t="s">
        <v>194</v>
      </c>
      <c r="C59" s="10" t="s">
        <v>195</v>
      </c>
      <c r="D59" s="11" t="s">
        <v>196</v>
      </c>
      <c r="E59" s="10" t="s">
        <v>37</v>
      </c>
      <c r="F59" s="1">
        <v>45997</v>
      </c>
      <c r="G59" s="1">
        <f>IFERROR(IF(Sheet1!$F59="","",Sheet1!$F59+365),"")</f>
        <v>46362</v>
      </c>
      <c r="H59" s="1">
        <f>IFERROR(IF(Sheet1!$F59="","",Sheet1!$F59+335),"")</f>
        <v>46332</v>
      </c>
      <c r="I59" s="1">
        <v>45952</v>
      </c>
      <c r="J59" s="1">
        <f>IFERROR(IF(Sheet1!$I59="","",Sheet1!$I59+365),"")</f>
        <v>46317</v>
      </c>
      <c r="K59" s="2">
        <f>IFERROR(IF(Sheet1!$I59="","",Sheet1!$I59+305),"")</f>
        <v>46257</v>
      </c>
    </row>
    <row r="60" spans="1:11" x14ac:dyDescent="0.35">
      <c r="A60" s="9">
        <v>59</v>
      </c>
      <c r="B60" s="12" t="s">
        <v>197</v>
      </c>
      <c r="C60" s="12" t="s">
        <v>198</v>
      </c>
      <c r="D60" s="12" t="s">
        <v>199</v>
      </c>
      <c r="E60" s="12" t="s">
        <v>22</v>
      </c>
      <c r="F60" s="14">
        <v>45998</v>
      </c>
      <c r="G60" s="1">
        <f>IFERROR(IF(Sheet1!$F60="","",Sheet1!$F60+365),"")</f>
        <v>46363</v>
      </c>
      <c r="H60" s="1">
        <f>IFERROR(IF(Sheet1!$F60="","",Sheet1!$F60+335),"")</f>
        <v>46333</v>
      </c>
      <c r="I60" s="14">
        <v>45943</v>
      </c>
      <c r="J60" s="1">
        <f>IFERROR(IF(Sheet1!$I60="","",Sheet1!$I60+365),"")</f>
        <v>46308</v>
      </c>
      <c r="K60" s="2">
        <f>IFERROR(IF(Sheet1!$I60="","",Sheet1!$I60+305),"")</f>
        <v>46248</v>
      </c>
    </row>
    <row r="61" spans="1:11" x14ac:dyDescent="0.35">
      <c r="A61" s="9">
        <v>60</v>
      </c>
      <c r="B61" s="10" t="s">
        <v>200</v>
      </c>
      <c r="C61" s="10" t="s">
        <v>201</v>
      </c>
      <c r="D61" s="11" t="s">
        <v>202</v>
      </c>
      <c r="E61" s="10" t="s">
        <v>37</v>
      </c>
      <c r="F61" s="1">
        <v>45960</v>
      </c>
      <c r="G61" s="1">
        <f>IFERROR(IF(Sheet1!$F61="","",Sheet1!$F61+365),"")</f>
        <v>46325</v>
      </c>
      <c r="H61" s="1">
        <f>IFERROR(IF(Sheet1!$F61="","",Sheet1!$F61+335),"")</f>
        <v>46295</v>
      </c>
      <c r="I61" s="1">
        <v>45960</v>
      </c>
      <c r="J61" s="1">
        <f>IFERROR(IF(Sheet1!$I61="","",Sheet1!$I61+365),"")</f>
        <v>46325</v>
      </c>
      <c r="K61" s="2">
        <f>IFERROR(IF(Sheet1!$I61="","",Sheet1!$I61+305),"")</f>
        <v>46265</v>
      </c>
    </row>
    <row r="62" spans="1:11" x14ac:dyDescent="0.35">
      <c r="A62" s="9">
        <v>61</v>
      </c>
      <c r="B62" s="10" t="s">
        <v>203</v>
      </c>
      <c r="C62" s="10" t="s">
        <v>204</v>
      </c>
      <c r="D62" s="11" t="s">
        <v>205</v>
      </c>
      <c r="E62" s="10" t="s">
        <v>37</v>
      </c>
      <c r="F62" s="1">
        <v>45997</v>
      </c>
      <c r="G62" s="1">
        <f>IFERROR(IF(Sheet1!$F62="","",Sheet1!$F62+365),"")</f>
        <v>46362</v>
      </c>
      <c r="H62" s="1">
        <f>IFERROR(IF(Sheet1!$F62="","",Sheet1!$F62+335),"")</f>
        <v>46332</v>
      </c>
      <c r="I62" s="1">
        <v>45967</v>
      </c>
      <c r="J62" s="1">
        <f>IFERROR(IF(Sheet1!$I62="","",Sheet1!$I62+365),"")</f>
        <v>46332</v>
      </c>
      <c r="K62" s="2">
        <f>IFERROR(IF(Sheet1!$I62="","",Sheet1!$I62+305),"")</f>
        <v>46272</v>
      </c>
    </row>
    <row r="63" spans="1:11" x14ac:dyDescent="0.35">
      <c r="A63" s="9">
        <v>62</v>
      </c>
      <c r="B63" s="10" t="s">
        <v>206</v>
      </c>
      <c r="C63" s="10" t="s">
        <v>207</v>
      </c>
      <c r="D63" s="11" t="s">
        <v>208</v>
      </c>
      <c r="E63" s="10" t="s">
        <v>14</v>
      </c>
      <c r="F63" s="1">
        <v>45978</v>
      </c>
      <c r="G63" s="1">
        <f>IFERROR(IF(Sheet1!$F63="","",Sheet1!$F63+365),"")</f>
        <v>46343</v>
      </c>
      <c r="H63" s="1">
        <f>IFERROR(IF(Sheet1!$F63="","",Sheet1!$F63+335),"")</f>
        <v>46313</v>
      </c>
      <c r="I63" s="1">
        <v>45911</v>
      </c>
      <c r="J63" s="1">
        <f>IFERROR(IF(Sheet1!$I63="","",Sheet1!$I63+365),"")</f>
        <v>46276</v>
      </c>
      <c r="K63" s="2">
        <f>IFERROR(IF(Sheet1!$I63="","",Sheet1!$I63+305),"")</f>
        <v>46216</v>
      </c>
    </row>
    <row r="64" spans="1:11" x14ac:dyDescent="0.35">
      <c r="A64" s="9">
        <v>63</v>
      </c>
      <c r="B64" s="10" t="s">
        <v>209</v>
      </c>
      <c r="C64" s="10" t="s">
        <v>210</v>
      </c>
      <c r="D64" s="11" t="s">
        <v>211</v>
      </c>
      <c r="E64" s="10" t="s">
        <v>37</v>
      </c>
      <c r="F64" s="1">
        <v>46043</v>
      </c>
      <c r="G64" s="1">
        <f>IFERROR(IF(Sheet1!$F64="","",Sheet1!$F64+365),"")</f>
        <v>46408</v>
      </c>
      <c r="H64" s="1">
        <f>IFERROR(IF(Sheet1!$F64="","",Sheet1!$F64+335),"")</f>
        <v>46378</v>
      </c>
      <c r="I64" s="1">
        <v>46043</v>
      </c>
      <c r="J64" s="1">
        <f>IFERROR(IF(Sheet1!$I64="","",Sheet1!$I64+365),"")</f>
        <v>46408</v>
      </c>
      <c r="K64" s="2">
        <f>IFERROR(IF(Sheet1!$I64="","",Sheet1!$I64+305),"")</f>
        <v>46348</v>
      </c>
    </row>
    <row r="65" spans="1:11" x14ac:dyDescent="0.35">
      <c r="A65" s="9">
        <v>64</v>
      </c>
      <c r="B65" s="10" t="s">
        <v>212</v>
      </c>
      <c r="C65" s="10" t="s">
        <v>213</v>
      </c>
      <c r="D65" s="10" t="s">
        <v>214</v>
      </c>
      <c r="E65" s="10" t="s">
        <v>215</v>
      </c>
      <c r="F65" s="1">
        <v>45827</v>
      </c>
      <c r="G65" s="1">
        <f>IFERROR(IF(Sheet1!$F65="","",Sheet1!$F65+365),"")</f>
        <v>46192</v>
      </c>
      <c r="H65" s="1">
        <f>IFERROR(IF(Sheet1!$F65="","",Sheet1!$F65+335),"")</f>
        <v>46162</v>
      </c>
      <c r="I65" s="1">
        <v>45823</v>
      </c>
      <c r="J65" s="1">
        <f>IFERROR(IF(Sheet1!$I65="","",Sheet1!$I65+365),"")</f>
        <v>46188</v>
      </c>
      <c r="K65" s="2">
        <f>IFERROR(IF(Sheet1!$I65="","",Sheet1!$I65+305),"")</f>
        <v>46128</v>
      </c>
    </row>
    <row r="66" spans="1:11" x14ac:dyDescent="0.35">
      <c r="A66" s="9">
        <v>65</v>
      </c>
      <c r="B66" s="10" t="s">
        <v>216</v>
      </c>
      <c r="C66" s="10" t="s">
        <v>217</v>
      </c>
      <c r="D66" s="11" t="s">
        <v>218</v>
      </c>
      <c r="E66" s="10" t="s">
        <v>14</v>
      </c>
      <c r="F66" s="1">
        <v>45978</v>
      </c>
      <c r="G66" s="1">
        <f>IFERROR(IF(Sheet1!$F66="","",Sheet1!$F66+365),"")</f>
        <v>46343</v>
      </c>
      <c r="H66" s="1">
        <f>IFERROR(IF(Sheet1!$F66="","",Sheet1!$F66+335),"")</f>
        <v>46313</v>
      </c>
      <c r="I66" s="1">
        <v>45922</v>
      </c>
      <c r="J66" s="1">
        <f>IFERROR(IF(Sheet1!$I66="","",Sheet1!$I66+365),"")</f>
        <v>46287</v>
      </c>
      <c r="K66" s="2">
        <f>IFERROR(IF(Sheet1!$I66="","",Sheet1!$I66+305),"")</f>
        <v>46227</v>
      </c>
    </row>
    <row r="67" spans="1:11" x14ac:dyDescent="0.35">
      <c r="A67" s="9">
        <v>66</v>
      </c>
      <c r="B67" s="12" t="s">
        <v>219</v>
      </c>
      <c r="C67" s="12" t="s">
        <v>220</v>
      </c>
      <c r="D67" s="12" t="s">
        <v>221</v>
      </c>
      <c r="E67" s="12" t="s">
        <v>22</v>
      </c>
      <c r="F67" s="14">
        <v>45983</v>
      </c>
      <c r="G67" s="1">
        <f>IFERROR(IF(Sheet1!$F67="","",Sheet1!$F67+365),"")</f>
        <v>46348</v>
      </c>
      <c r="H67" s="1">
        <f>IFERROR(IF(Sheet1!$F67="","",Sheet1!$F67+335),"")</f>
        <v>46318</v>
      </c>
      <c r="I67" s="14">
        <v>45939</v>
      </c>
      <c r="J67" s="1">
        <f>IFERROR(IF(Sheet1!$I67="","",Sheet1!$I67+365),"")</f>
        <v>46304</v>
      </c>
      <c r="K67" s="2">
        <f>IFERROR(IF(Sheet1!$I67="","",Sheet1!$I67+305),"")</f>
        <v>46244</v>
      </c>
    </row>
    <row r="68" spans="1:11" x14ac:dyDescent="0.35">
      <c r="A68" s="9">
        <v>67</v>
      </c>
      <c r="B68" s="10" t="s">
        <v>222</v>
      </c>
      <c r="C68" s="10" t="s">
        <v>223</v>
      </c>
      <c r="D68" s="11" t="s">
        <v>224</v>
      </c>
      <c r="E68" s="10" t="s">
        <v>37</v>
      </c>
      <c r="F68" s="1">
        <v>46003</v>
      </c>
      <c r="G68" s="1">
        <f>IFERROR(IF(Sheet1!$F68="","",Sheet1!$F68+365),"")</f>
        <v>46368</v>
      </c>
      <c r="H68" s="1">
        <f>IFERROR(IF(Sheet1!$F68="","",Sheet1!$F68+335),"")</f>
        <v>46338</v>
      </c>
      <c r="I68" s="1">
        <v>45979</v>
      </c>
      <c r="J68" s="1">
        <f>IFERROR(IF(Sheet1!$I68="","",Sheet1!$I68+365),"")</f>
        <v>46344</v>
      </c>
      <c r="K68" s="2">
        <f>IFERROR(IF(Sheet1!$I68="","",Sheet1!$I68+305),"")</f>
        <v>46284</v>
      </c>
    </row>
    <row r="69" spans="1:11" x14ac:dyDescent="0.35">
      <c r="A69" s="9">
        <v>68</v>
      </c>
      <c r="B69" s="10" t="s">
        <v>225</v>
      </c>
      <c r="C69" s="10" t="s">
        <v>226</v>
      </c>
      <c r="D69" s="11" t="s">
        <v>227</v>
      </c>
      <c r="E69" s="10" t="s">
        <v>14</v>
      </c>
      <c r="F69" s="1">
        <v>45980</v>
      </c>
      <c r="G69" s="1">
        <f>IFERROR(IF(Sheet1!$F69="","",Sheet1!$F69+365),"")</f>
        <v>46345</v>
      </c>
      <c r="H69" s="1">
        <f>IFERROR(IF(Sheet1!$F69="","",Sheet1!$F69+335),"")</f>
        <v>46315</v>
      </c>
      <c r="I69" s="1">
        <v>45910</v>
      </c>
      <c r="J69" s="1">
        <f>IFERROR(IF(Sheet1!$I69="","",Sheet1!$I69+365),"")</f>
        <v>46275</v>
      </c>
      <c r="K69" s="2">
        <f>IFERROR(IF(Sheet1!$I69="","",Sheet1!$I69+305),"")</f>
        <v>46215</v>
      </c>
    </row>
    <row r="70" spans="1:11" x14ac:dyDescent="0.35">
      <c r="A70" s="9">
        <v>69</v>
      </c>
      <c r="B70" s="10" t="s">
        <v>228</v>
      </c>
      <c r="C70" s="10" t="s">
        <v>229</v>
      </c>
      <c r="D70" s="11" t="s">
        <v>230</v>
      </c>
      <c r="E70" s="10" t="s">
        <v>26</v>
      </c>
      <c r="F70" s="1">
        <v>45979</v>
      </c>
      <c r="G70" s="1">
        <f>IFERROR(IF(Sheet1!$F70="","",Sheet1!$F70+365),"")</f>
        <v>46344</v>
      </c>
      <c r="H70" s="1">
        <f>IFERROR(IF(Sheet1!$F70="","",Sheet1!$F70+335),"")</f>
        <v>46314</v>
      </c>
      <c r="I70" s="1">
        <v>45920</v>
      </c>
      <c r="J70" s="1">
        <f>IFERROR(IF(Sheet1!$I70="","",Sheet1!$I70+365),"")</f>
        <v>46285</v>
      </c>
      <c r="K70" s="2">
        <f>IFERROR(IF(Sheet1!$I70="","",Sheet1!$I70+305),"")</f>
        <v>46225</v>
      </c>
    </row>
    <row r="71" spans="1:11" x14ac:dyDescent="0.35">
      <c r="A71" s="9">
        <v>70</v>
      </c>
      <c r="B71" s="10" t="s">
        <v>231</v>
      </c>
      <c r="C71" s="10" t="s">
        <v>232</v>
      </c>
      <c r="D71" s="11" t="s">
        <v>233</v>
      </c>
      <c r="E71" s="10" t="s">
        <v>56</v>
      </c>
      <c r="F71" s="1">
        <v>45993</v>
      </c>
      <c r="G71" s="1">
        <f>IFERROR(IF(Sheet1!$F71="","",Sheet1!$F71+365),"")</f>
        <v>46358</v>
      </c>
      <c r="H71" s="1">
        <f>IFERROR(IF(Sheet1!$F71="","",Sheet1!$F71+335),"")</f>
        <v>46328</v>
      </c>
      <c r="I71" s="1">
        <v>46023</v>
      </c>
      <c r="J71" s="1">
        <f>IFERROR(IF(Sheet1!$I71="","",Sheet1!$I71+365),"")</f>
        <v>46388</v>
      </c>
      <c r="K71" s="2">
        <f>IFERROR(IF(Sheet1!$I71="","",Sheet1!$I71+305),"")</f>
        <v>46328</v>
      </c>
    </row>
    <row r="72" spans="1:11" x14ac:dyDescent="0.35">
      <c r="A72" s="9">
        <v>71</v>
      </c>
      <c r="B72" s="10" t="s">
        <v>234</v>
      </c>
      <c r="C72" s="10" t="s">
        <v>235</v>
      </c>
      <c r="D72" s="11" t="s">
        <v>236</v>
      </c>
      <c r="E72" s="10" t="s">
        <v>18</v>
      </c>
      <c r="F72" s="1">
        <v>45982</v>
      </c>
      <c r="G72" s="1">
        <f>IFERROR(IF(Sheet1!$F72="","",Sheet1!$F72+365),"")</f>
        <v>46347</v>
      </c>
      <c r="H72" s="1">
        <f>IFERROR(IF(Sheet1!$F72="","",Sheet1!$F72+335),"")</f>
        <v>46317</v>
      </c>
      <c r="I72" s="1">
        <v>45982</v>
      </c>
      <c r="J72" s="1">
        <f>IFERROR(IF(Sheet1!$I72="","",Sheet1!$I72+365),"")</f>
        <v>46347</v>
      </c>
      <c r="K72" s="2">
        <f>IFERROR(IF(Sheet1!$I72="","",Sheet1!$I72+305),"")</f>
        <v>46287</v>
      </c>
    </row>
    <row r="73" spans="1:11" x14ac:dyDescent="0.35">
      <c r="A73" s="9">
        <v>72</v>
      </c>
      <c r="B73" s="10" t="s">
        <v>237</v>
      </c>
      <c r="C73" s="10" t="s">
        <v>238</v>
      </c>
      <c r="D73" s="10" t="s">
        <v>239</v>
      </c>
      <c r="E73" s="10" t="s">
        <v>172</v>
      </c>
      <c r="F73" s="1"/>
      <c r="G73" s="1" t="str">
        <f>IFERROR(IF(Sheet1!$F73="","",Sheet1!$F73+365),"")</f>
        <v/>
      </c>
      <c r="H73" s="1" t="str">
        <f>IFERROR(IF(Sheet1!$F73="","",Sheet1!$F73+335),"")</f>
        <v/>
      </c>
      <c r="I73" s="1"/>
      <c r="J73" s="1" t="str">
        <f>IFERROR(IF(Sheet1!$I73="","",Sheet1!$I73+365),"")</f>
        <v/>
      </c>
      <c r="K73" s="2" t="str">
        <f>IFERROR(IF(Sheet1!$I73="","",Sheet1!$I73+305),"")</f>
        <v/>
      </c>
    </row>
    <row r="74" spans="1:11" x14ac:dyDescent="0.35">
      <c r="A74" s="9">
        <v>73</v>
      </c>
      <c r="B74" s="12" t="s">
        <v>240</v>
      </c>
      <c r="C74" s="12" t="s">
        <v>241</v>
      </c>
      <c r="D74" s="13" t="s">
        <v>242</v>
      </c>
      <c r="E74" s="12" t="s">
        <v>22</v>
      </c>
      <c r="F74" s="14">
        <v>45996</v>
      </c>
      <c r="G74" s="1">
        <f>IFERROR(IF(Sheet1!$F74="","",Sheet1!$F74+365),"")</f>
        <v>46361</v>
      </c>
      <c r="H74" s="1">
        <f>IFERROR(IF(Sheet1!$F74="","",Sheet1!$F74+335),"")</f>
        <v>46331</v>
      </c>
      <c r="I74" s="14">
        <v>45911</v>
      </c>
      <c r="J74" s="1">
        <f>IFERROR(IF(Sheet1!$I74="","",Sheet1!$I74+365),"")</f>
        <v>46276</v>
      </c>
      <c r="K74" s="2">
        <f>IFERROR(IF(Sheet1!$I74="","",Sheet1!$I74+305),"")</f>
        <v>46216</v>
      </c>
    </row>
    <row r="75" spans="1:11" x14ac:dyDescent="0.35">
      <c r="A75" s="9">
        <v>74</v>
      </c>
      <c r="B75" s="10" t="s">
        <v>243</v>
      </c>
      <c r="C75" s="10" t="s">
        <v>244</v>
      </c>
      <c r="D75" s="10" t="s">
        <v>245</v>
      </c>
      <c r="E75" s="10" t="s">
        <v>246</v>
      </c>
      <c r="F75" s="1"/>
      <c r="G75" s="1" t="str">
        <f>IFERROR(IF(Sheet1!$F75="","",Sheet1!$F75+365),"")</f>
        <v/>
      </c>
      <c r="H75" s="1" t="str">
        <f>IFERROR(IF(Sheet1!$F75="","",Sheet1!$F75+335),"")</f>
        <v/>
      </c>
      <c r="I75" s="1"/>
      <c r="J75" s="1" t="str">
        <f>IFERROR(IF(Sheet1!$I75="","",Sheet1!$I75+365),"")</f>
        <v/>
      </c>
      <c r="K75" s="2" t="str">
        <f>IFERROR(IF(Sheet1!$I75="","",Sheet1!$I75+305),"")</f>
        <v/>
      </c>
    </row>
    <row r="76" spans="1:11" x14ac:dyDescent="0.35">
      <c r="A76" s="9">
        <v>75</v>
      </c>
      <c r="B76" s="10" t="s">
        <v>247</v>
      </c>
      <c r="C76" s="10" t="s">
        <v>248</v>
      </c>
      <c r="D76" s="11" t="s">
        <v>249</v>
      </c>
      <c r="E76" s="10" t="s">
        <v>14</v>
      </c>
      <c r="F76" s="1">
        <v>45979</v>
      </c>
      <c r="G76" s="1">
        <f>IFERROR(IF(Sheet1!$F76="","",Sheet1!$F76+365),"")</f>
        <v>46344</v>
      </c>
      <c r="H76" s="1">
        <f>IFERROR(IF(Sheet1!$F76="","",Sheet1!$F76+335),"")</f>
        <v>46314</v>
      </c>
      <c r="I76" s="1">
        <v>45910</v>
      </c>
      <c r="J76" s="1">
        <f>IFERROR(IF(Sheet1!$I76="","",Sheet1!$I76+365),"")</f>
        <v>46275</v>
      </c>
      <c r="K76" s="2">
        <f>IFERROR(IF(Sheet1!$I76="","",Sheet1!$I76+305),"")</f>
        <v>46215</v>
      </c>
    </row>
    <row r="77" spans="1:11" x14ac:dyDescent="0.35">
      <c r="A77" s="9">
        <v>76</v>
      </c>
      <c r="B77" s="10" t="s">
        <v>250</v>
      </c>
      <c r="C77" s="10" t="s">
        <v>251</v>
      </c>
      <c r="D77" s="11" t="s">
        <v>252</v>
      </c>
      <c r="E77" s="10" t="s">
        <v>18</v>
      </c>
      <c r="F77" s="1">
        <v>45803</v>
      </c>
      <c r="G77" s="1">
        <f>IFERROR(IF(Sheet1!$F77="","",Sheet1!$F77+365),"")</f>
        <v>46168</v>
      </c>
      <c r="H77" s="1">
        <f>IFERROR(IF(Sheet1!$F77="","",Sheet1!$F77+335),"")</f>
        <v>46138</v>
      </c>
      <c r="I77" s="1">
        <v>45803</v>
      </c>
      <c r="J77" s="1">
        <f>IFERROR(IF(Sheet1!$I77="","",Sheet1!$I77+365),"")</f>
        <v>46168</v>
      </c>
      <c r="K77" s="2">
        <f>IFERROR(IF(Sheet1!$I77="","",Sheet1!$I77+305),"")</f>
        <v>46108</v>
      </c>
    </row>
    <row r="78" spans="1:11" x14ac:dyDescent="0.35">
      <c r="A78" s="9">
        <v>77</v>
      </c>
      <c r="B78" s="10" t="s">
        <v>253</v>
      </c>
      <c r="C78" s="10" t="s">
        <v>254</v>
      </c>
      <c r="D78" s="11" t="s">
        <v>255</v>
      </c>
      <c r="E78" s="10" t="s">
        <v>63</v>
      </c>
      <c r="F78" s="1">
        <v>45993</v>
      </c>
      <c r="G78" s="1">
        <f>IFERROR(IF(Sheet1!$F78="","",Sheet1!$F78+365),"")</f>
        <v>46358</v>
      </c>
      <c r="H78" s="1">
        <f>IFERROR(IF(Sheet1!$F78="","",Sheet1!$F78+335),"")</f>
        <v>46328</v>
      </c>
      <c r="I78" s="1">
        <v>45939</v>
      </c>
      <c r="J78" s="1">
        <f>IFERROR(IF(Sheet1!$I78="","",Sheet1!$I78+365),"")</f>
        <v>46304</v>
      </c>
      <c r="K78" s="2">
        <f>IFERROR(IF(Sheet1!$I78="","",Sheet1!$I78+305),"")</f>
        <v>46244</v>
      </c>
    </row>
    <row r="79" spans="1:11" x14ac:dyDescent="0.35">
      <c r="A79" s="9">
        <v>78</v>
      </c>
      <c r="B79" s="10" t="s">
        <v>256</v>
      </c>
      <c r="C79" s="10" t="s">
        <v>257</v>
      </c>
      <c r="D79" s="11" t="s">
        <v>258</v>
      </c>
      <c r="E79" s="10" t="s">
        <v>37</v>
      </c>
      <c r="F79" s="1">
        <v>45957</v>
      </c>
      <c r="G79" s="1">
        <f>IFERROR(IF(Sheet1!$F79="","",Sheet1!$F79+365),"")</f>
        <v>46322</v>
      </c>
      <c r="H79" s="1">
        <f>IFERROR(IF(Sheet1!$F79="","",Sheet1!$F79+335),"")</f>
        <v>46292</v>
      </c>
      <c r="I79" s="1">
        <v>45957</v>
      </c>
      <c r="J79" s="1">
        <f>IFERROR(IF(Sheet1!$I79="","",Sheet1!$I79+365),"")</f>
        <v>46322</v>
      </c>
      <c r="K79" s="2">
        <f>IFERROR(IF(Sheet1!$I79="","",Sheet1!$I79+305),"")</f>
        <v>46262</v>
      </c>
    </row>
    <row r="80" spans="1:11" x14ac:dyDescent="0.35">
      <c r="A80" s="9">
        <v>79</v>
      </c>
      <c r="B80" s="12" t="s">
        <v>259</v>
      </c>
      <c r="C80" s="12" t="s">
        <v>260</v>
      </c>
      <c r="D80" s="13" t="s">
        <v>261</v>
      </c>
      <c r="E80" s="12" t="s">
        <v>22</v>
      </c>
      <c r="F80" s="14">
        <v>45948</v>
      </c>
      <c r="G80" s="1">
        <f>IFERROR(IF(Sheet1!$F80="","",Sheet1!$F80+365),"")</f>
        <v>46313</v>
      </c>
      <c r="H80" s="1">
        <f>IFERROR(IF(Sheet1!$F80="","",Sheet1!$F80+335),"")</f>
        <v>46283</v>
      </c>
      <c r="I80" s="14">
        <v>45954</v>
      </c>
      <c r="J80" s="1">
        <f>IFERROR(IF(Sheet1!$I80="","",Sheet1!$I80+365),"")</f>
        <v>46319</v>
      </c>
      <c r="K80" s="2">
        <f>IFERROR(IF(Sheet1!$I80="","",Sheet1!$I80+305),"")</f>
        <v>46259</v>
      </c>
    </row>
    <row r="81" spans="1:11" x14ac:dyDescent="0.35">
      <c r="A81" s="9">
        <v>80</v>
      </c>
      <c r="B81" s="10" t="s">
        <v>262</v>
      </c>
      <c r="C81" s="10" t="s">
        <v>263</v>
      </c>
      <c r="D81" s="11" t="s">
        <v>264</v>
      </c>
      <c r="E81" s="10" t="s">
        <v>63</v>
      </c>
      <c r="F81" s="1">
        <v>45981</v>
      </c>
      <c r="G81" s="1">
        <f>IFERROR(IF(Sheet1!$F81="","",Sheet1!$F81+365),"")</f>
        <v>46346</v>
      </c>
      <c r="H81" s="1">
        <f>IFERROR(IF(Sheet1!$F81="","",Sheet1!$F81+335),"")</f>
        <v>46316</v>
      </c>
      <c r="I81" s="1">
        <v>45974</v>
      </c>
      <c r="J81" s="1">
        <f>IFERROR(IF(Sheet1!$I81="","",Sheet1!$I81+365),"")</f>
        <v>46339</v>
      </c>
      <c r="K81" s="2">
        <f>IFERROR(IF(Sheet1!$I81="","",Sheet1!$I81+305),"")</f>
        <v>46279</v>
      </c>
    </row>
    <row r="82" spans="1:11" x14ac:dyDescent="0.35">
      <c r="A82" s="9">
        <v>81</v>
      </c>
      <c r="B82" s="10" t="s">
        <v>265</v>
      </c>
      <c r="C82" s="10" t="s">
        <v>266</v>
      </c>
      <c r="D82" s="11" t="s">
        <v>267</v>
      </c>
      <c r="E82" s="10" t="s">
        <v>18</v>
      </c>
      <c r="F82" s="1">
        <v>45983</v>
      </c>
      <c r="G82" s="1">
        <f>IFERROR(IF(Sheet1!$F82="","",Sheet1!$F82+365),"")</f>
        <v>46348</v>
      </c>
      <c r="H82" s="1">
        <f>IFERROR(IF(Sheet1!$F82="","",Sheet1!$F82+335),"")</f>
        <v>46318</v>
      </c>
      <c r="I82" s="1">
        <v>45979</v>
      </c>
      <c r="J82" s="1">
        <f>IFERROR(IF(Sheet1!$I82="","",Sheet1!$I82+365),"")</f>
        <v>46344</v>
      </c>
      <c r="K82" s="2">
        <f>IFERROR(IF(Sheet1!$I82="","",Sheet1!$I82+305),"")</f>
        <v>46284</v>
      </c>
    </row>
    <row r="83" spans="1:11" x14ac:dyDescent="0.35">
      <c r="A83" s="9">
        <v>82</v>
      </c>
      <c r="B83" s="10" t="s">
        <v>268</v>
      </c>
      <c r="C83" s="10" t="s">
        <v>269</v>
      </c>
      <c r="D83" s="11" t="s">
        <v>270</v>
      </c>
      <c r="E83" s="10" t="s">
        <v>88</v>
      </c>
      <c r="F83" s="1">
        <v>45978</v>
      </c>
      <c r="G83" s="1">
        <f>IFERROR(IF(Sheet1!$F83="","",Sheet1!$F83+365),"")</f>
        <v>46343</v>
      </c>
      <c r="H83" s="1">
        <f>IFERROR(IF(Sheet1!$F83="","",Sheet1!$F83+335),"")</f>
        <v>46313</v>
      </c>
      <c r="I83" s="1">
        <v>45987</v>
      </c>
      <c r="J83" s="1">
        <f>IFERROR(IF(Sheet1!$I83="","",Sheet1!$I83+365),"")</f>
        <v>46352</v>
      </c>
      <c r="K83" s="2">
        <f>IFERROR(IF(Sheet1!$I83="","",Sheet1!$I83+305),"")</f>
        <v>46292</v>
      </c>
    </row>
    <row r="84" spans="1:11" x14ac:dyDescent="0.35">
      <c r="A84" s="9">
        <v>83</v>
      </c>
      <c r="B84" s="10" t="s">
        <v>271</v>
      </c>
      <c r="C84" s="10" t="s">
        <v>272</v>
      </c>
      <c r="D84" s="11" t="s">
        <v>273</v>
      </c>
      <c r="E84" s="10" t="s">
        <v>14</v>
      </c>
      <c r="F84" s="1">
        <v>45979</v>
      </c>
      <c r="G84" s="1">
        <f>IFERROR(IF(Sheet1!$F84="","",Sheet1!$F84+365),"")</f>
        <v>46344</v>
      </c>
      <c r="H84" s="1">
        <f>IFERROR(IF(Sheet1!$F84="","",Sheet1!$F84+335),"")</f>
        <v>46314</v>
      </c>
      <c r="I84" s="1">
        <v>45910</v>
      </c>
      <c r="J84" s="1">
        <f>IFERROR(IF(Sheet1!$I84="","",Sheet1!$I84+365),"")</f>
        <v>46275</v>
      </c>
      <c r="K84" s="2">
        <f>IFERROR(IF(Sheet1!$I84="","",Sheet1!$I84+305),"")</f>
        <v>46215</v>
      </c>
    </row>
    <row r="85" spans="1:11" x14ac:dyDescent="0.35">
      <c r="A85" s="9">
        <v>84</v>
      </c>
      <c r="B85" s="10" t="s">
        <v>274</v>
      </c>
      <c r="C85" s="10" t="s">
        <v>275</v>
      </c>
      <c r="D85" s="11" t="s">
        <v>276</v>
      </c>
      <c r="E85" s="10" t="s">
        <v>37</v>
      </c>
      <c r="F85" s="1">
        <v>46003</v>
      </c>
      <c r="G85" s="1">
        <f>IFERROR(IF(Sheet1!$F85="","",Sheet1!$F85+365),"")</f>
        <v>46368</v>
      </c>
      <c r="H85" s="1">
        <f>IFERROR(IF(Sheet1!$F85="","",Sheet1!$F85+335),"")</f>
        <v>46338</v>
      </c>
      <c r="I85" s="1">
        <v>45947</v>
      </c>
      <c r="J85" s="1">
        <f>IFERROR(IF(Sheet1!$I85="","",Sheet1!$I85+365),"")</f>
        <v>46312</v>
      </c>
      <c r="K85" s="2">
        <f>IFERROR(IF(Sheet1!$I85="","",Sheet1!$I85+305),"")</f>
        <v>46252</v>
      </c>
    </row>
    <row r="86" spans="1:11" x14ac:dyDescent="0.35">
      <c r="A86" s="9">
        <v>85</v>
      </c>
      <c r="B86" s="10" t="s">
        <v>277</v>
      </c>
      <c r="C86" s="10" t="s">
        <v>278</v>
      </c>
      <c r="D86" s="11" t="s">
        <v>279</v>
      </c>
      <c r="E86" s="10" t="s">
        <v>14</v>
      </c>
      <c r="F86" s="1">
        <v>45979</v>
      </c>
      <c r="G86" s="1">
        <f>IFERROR(IF(Sheet1!$F86="","",Sheet1!$F86+365),"")</f>
        <v>46344</v>
      </c>
      <c r="H86" s="1">
        <f>IFERROR(IF(Sheet1!$F86="","",Sheet1!$F86+335),"")</f>
        <v>46314</v>
      </c>
      <c r="I86" s="1">
        <v>45910</v>
      </c>
      <c r="J86" s="1">
        <f>IFERROR(IF(Sheet1!$I86="","",Sheet1!$I86+365),"")</f>
        <v>46275</v>
      </c>
      <c r="K86" s="2">
        <f>IFERROR(IF(Sheet1!$I86="","",Sheet1!$I86+305),"")</f>
        <v>46215</v>
      </c>
    </row>
    <row r="87" spans="1:11" x14ac:dyDescent="0.35">
      <c r="A87" s="9">
        <v>86</v>
      </c>
      <c r="B87" s="12" t="s">
        <v>280</v>
      </c>
      <c r="C87" s="12" t="s">
        <v>281</v>
      </c>
      <c r="D87" s="13" t="s">
        <v>282</v>
      </c>
      <c r="E87" s="12" t="s">
        <v>22</v>
      </c>
      <c r="F87" s="14">
        <v>45986</v>
      </c>
      <c r="G87" s="1">
        <f>IFERROR(IF(Sheet1!$F87="","",Sheet1!$F87+365),"")</f>
        <v>46351</v>
      </c>
      <c r="H87" s="1">
        <f>IFERROR(IF(Sheet1!$F87="","",Sheet1!$F87+335),"")</f>
        <v>46321</v>
      </c>
      <c r="I87" s="14">
        <v>45919</v>
      </c>
      <c r="J87" s="1">
        <f>IFERROR(IF(Sheet1!$I87="","",Sheet1!$I87+365),"")</f>
        <v>46284</v>
      </c>
      <c r="K87" s="2">
        <f>IFERROR(IF(Sheet1!$I87="","",Sheet1!$I87+305),"")</f>
        <v>46224</v>
      </c>
    </row>
    <row r="88" spans="1:11" x14ac:dyDescent="0.35">
      <c r="A88" s="9">
        <v>87</v>
      </c>
      <c r="B88" s="10" t="s">
        <v>283</v>
      </c>
      <c r="C88" s="10" t="s">
        <v>284</v>
      </c>
      <c r="D88" s="11" t="s">
        <v>285</v>
      </c>
      <c r="E88" s="10" t="s">
        <v>14</v>
      </c>
      <c r="F88" s="1">
        <v>45986</v>
      </c>
      <c r="G88" s="1">
        <f>IFERROR(IF(Sheet1!$F88="","",Sheet1!$F88+365),"")</f>
        <v>46351</v>
      </c>
      <c r="H88" s="1">
        <f>IFERROR(IF(Sheet1!$F88="","",Sheet1!$F88+335),"")</f>
        <v>46321</v>
      </c>
      <c r="I88" s="1">
        <v>45905</v>
      </c>
      <c r="J88" s="1">
        <f>IFERROR(IF(Sheet1!$I88="","",Sheet1!$I88+365),"")</f>
        <v>46270</v>
      </c>
      <c r="K88" s="2">
        <f>IFERROR(IF(Sheet1!$I88="","",Sheet1!$I88+305),"")</f>
        <v>46210</v>
      </c>
    </row>
    <row r="89" spans="1:11" x14ac:dyDescent="0.35">
      <c r="A89" s="9">
        <v>88</v>
      </c>
      <c r="B89" s="10" t="s">
        <v>286</v>
      </c>
      <c r="C89" s="10" t="s">
        <v>287</v>
      </c>
      <c r="D89" s="11" t="s">
        <v>288</v>
      </c>
      <c r="E89" s="10" t="s">
        <v>18</v>
      </c>
      <c r="F89" s="1">
        <v>45979</v>
      </c>
      <c r="G89" s="1">
        <f>IFERROR(IF(Sheet1!$F89="","",Sheet1!$F89+365),"")</f>
        <v>46344</v>
      </c>
      <c r="H89" s="1">
        <f>IFERROR(IF(Sheet1!$F89="","",Sheet1!$F89+335),"")</f>
        <v>46314</v>
      </c>
      <c r="I89" s="1">
        <v>45939</v>
      </c>
      <c r="J89" s="1">
        <f>IFERROR(IF(Sheet1!$I89="","",Sheet1!$I89+365),"")</f>
        <v>46304</v>
      </c>
      <c r="K89" s="2">
        <f>IFERROR(IF(Sheet1!$I89="","",Sheet1!$I89+305),"")</f>
        <v>46244</v>
      </c>
    </row>
    <row r="90" spans="1:11" x14ac:dyDescent="0.35">
      <c r="A90" s="9">
        <v>89</v>
      </c>
      <c r="B90" s="10" t="s">
        <v>289</v>
      </c>
      <c r="C90" s="10" t="s">
        <v>290</v>
      </c>
      <c r="D90" s="11" t="s">
        <v>291</v>
      </c>
      <c r="E90" s="10" t="s">
        <v>37</v>
      </c>
      <c r="F90" s="1">
        <v>45998</v>
      </c>
      <c r="G90" s="1">
        <f>IFERROR(IF(Sheet1!$F90="","",Sheet1!$F90+365),"")</f>
        <v>46363</v>
      </c>
      <c r="H90" s="1">
        <f>IFERROR(IF(Sheet1!$F90="","",Sheet1!$F90+335),"")</f>
        <v>46333</v>
      </c>
      <c r="I90" s="1">
        <v>45955</v>
      </c>
      <c r="J90" s="1">
        <f>IFERROR(IF(Sheet1!$I90="","",Sheet1!$I90+365),"")</f>
        <v>46320</v>
      </c>
      <c r="K90" s="2">
        <f>IFERROR(IF(Sheet1!$I90="","",Sheet1!$I90+305),"")</f>
        <v>46260</v>
      </c>
    </row>
    <row r="91" spans="1:11" x14ac:dyDescent="0.35">
      <c r="A91" s="9">
        <v>90</v>
      </c>
      <c r="B91" s="10" t="s">
        <v>292</v>
      </c>
      <c r="C91" s="10" t="s">
        <v>293</v>
      </c>
      <c r="D91" s="11" t="s">
        <v>294</v>
      </c>
      <c r="E91" s="10" t="s">
        <v>14</v>
      </c>
      <c r="F91" s="1">
        <v>45978</v>
      </c>
      <c r="G91" s="1">
        <f>IFERROR(IF(Sheet1!$F91="","",Sheet1!$F91+365),"")</f>
        <v>46343</v>
      </c>
      <c r="H91" s="1">
        <f>IFERROR(IF(Sheet1!$F91="","",Sheet1!$F91+335),"")</f>
        <v>46313</v>
      </c>
      <c r="I91" s="1">
        <v>45903</v>
      </c>
      <c r="J91" s="1">
        <f>IFERROR(IF(Sheet1!$I91="","",Sheet1!$I91+365),"")</f>
        <v>46268</v>
      </c>
      <c r="K91" s="2">
        <f>IFERROR(IF(Sheet1!$I91="","",Sheet1!$I91+305),"")</f>
        <v>46208</v>
      </c>
    </row>
    <row r="92" spans="1:11" x14ac:dyDescent="0.35">
      <c r="A92" s="9">
        <v>91</v>
      </c>
      <c r="B92" s="10" t="s">
        <v>295</v>
      </c>
      <c r="C92" s="10" t="s">
        <v>296</v>
      </c>
      <c r="D92" s="11" t="s">
        <v>297</v>
      </c>
      <c r="E92" s="10" t="s">
        <v>63</v>
      </c>
      <c r="F92" s="1">
        <v>45981</v>
      </c>
      <c r="G92" s="1">
        <f>IFERROR(IF(Sheet1!$F92="","",Sheet1!$F92+365),"")</f>
        <v>46346</v>
      </c>
      <c r="H92" s="1">
        <f>IFERROR(IF(Sheet1!$F92="","",Sheet1!$F92+335),"")</f>
        <v>46316</v>
      </c>
      <c r="I92" s="1">
        <v>45972</v>
      </c>
      <c r="J92" s="1">
        <f>IFERROR(IF(Sheet1!$I92="","",Sheet1!$I92+365),"")</f>
        <v>46337</v>
      </c>
      <c r="K92" s="2">
        <f>IFERROR(IF(Sheet1!$I92="","",Sheet1!$I92+305),"")</f>
        <v>46277</v>
      </c>
    </row>
    <row r="93" spans="1:11" x14ac:dyDescent="0.35">
      <c r="A93" s="9">
        <v>92</v>
      </c>
      <c r="B93" s="10" t="s">
        <v>298</v>
      </c>
      <c r="C93" s="10" t="s">
        <v>299</v>
      </c>
      <c r="D93" s="11" t="s">
        <v>300</v>
      </c>
      <c r="E93" s="10" t="s">
        <v>63</v>
      </c>
      <c r="F93" s="1">
        <v>46041</v>
      </c>
      <c r="G93" s="1">
        <f>IFERROR(IF(Sheet1!$F93="","",Sheet1!$F93+365),"")</f>
        <v>46406</v>
      </c>
      <c r="H93" s="1">
        <f>IFERROR(IF(Sheet1!$F93="","",Sheet1!$F93+335),"")</f>
        <v>46376</v>
      </c>
      <c r="I93" s="1">
        <v>46043</v>
      </c>
      <c r="J93" s="1">
        <f>IFERROR(IF(Sheet1!$I93="","",Sheet1!$I93+365),"")</f>
        <v>46408</v>
      </c>
      <c r="K93" s="2">
        <f>IFERROR(IF(Sheet1!$I93="","",Sheet1!$I93+305),"")</f>
        <v>46348</v>
      </c>
    </row>
    <row r="94" spans="1:11" x14ac:dyDescent="0.35">
      <c r="A94" s="9">
        <v>93</v>
      </c>
      <c r="B94" s="10" t="s">
        <v>301</v>
      </c>
      <c r="C94" s="10" t="s">
        <v>302</v>
      </c>
      <c r="D94" s="11" t="s">
        <v>303</v>
      </c>
      <c r="E94" s="10" t="s">
        <v>63</v>
      </c>
      <c r="F94" s="1">
        <v>45982</v>
      </c>
      <c r="G94" s="1">
        <f>IFERROR(IF(Sheet1!$F94="","",Sheet1!$F94+365),"")</f>
        <v>46347</v>
      </c>
      <c r="H94" s="1">
        <f>IFERROR(IF(Sheet1!$F94="","",Sheet1!$F94+335),"")</f>
        <v>46317</v>
      </c>
      <c r="I94" s="1">
        <v>45945</v>
      </c>
      <c r="J94" s="1">
        <f>IFERROR(IF(Sheet1!$I94="","",Sheet1!$I94+365),"")</f>
        <v>46310</v>
      </c>
      <c r="K94" s="2">
        <f>IFERROR(IF(Sheet1!$I94="","",Sheet1!$I94+305),"")</f>
        <v>46250</v>
      </c>
    </row>
    <row r="95" spans="1:11" x14ac:dyDescent="0.35">
      <c r="A95" s="9">
        <v>94</v>
      </c>
      <c r="B95" s="10" t="s">
        <v>304</v>
      </c>
      <c r="C95" s="10" t="s">
        <v>305</v>
      </c>
      <c r="D95" s="11" t="s">
        <v>306</v>
      </c>
      <c r="E95" s="10" t="s">
        <v>37</v>
      </c>
      <c r="F95" s="1">
        <v>45997</v>
      </c>
      <c r="G95" s="1">
        <f>IFERROR(IF(Sheet1!$F95="","",Sheet1!$F95+365),"")</f>
        <v>46362</v>
      </c>
      <c r="H95" s="1">
        <f>IFERROR(IF(Sheet1!$F95="","",Sheet1!$F95+335),"")</f>
        <v>46332</v>
      </c>
      <c r="I95" s="1">
        <v>45948</v>
      </c>
      <c r="J95" s="1">
        <f>IFERROR(IF(Sheet1!$I95="","",Sheet1!$I95+365),"")</f>
        <v>46313</v>
      </c>
      <c r="K95" s="2">
        <f>IFERROR(IF(Sheet1!$I95="","",Sheet1!$I95+305),"")</f>
        <v>46253</v>
      </c>
    </row>
    <row r="96" spans="1:11" x14ac:dyDescent="0.35">
      <c r="A96" s="9">
        <v>95</v>
      </c>
      <c r="B96" s="12" t="s">
        <v>307</v>
      </c>
      <c r="C96" s="12" t="s">
        <v>308</v>
      </c>
      <c r="D96" s="12" t="s">
        <v>309</v>
      </c>
      <c r="E96" s="12" t="s">
        <v>22</v>
      </c>
      <c r="F96" s="14">
        <v>45994</v>
      </c>
      <c r="G96" s="1">
        <f>IFERROR(IF(Sheet1!$F96="","",Sheet1!$F96+365),"")</f>
        <v>46359</v>
      </c>
      <c r="H96" s="1">
        <f>IFERROR(IF(Sheet1!$F96="","",Sheet1!$F96+335),"")</f>
        <v>46329</v>
      </c>
      <c r="I96" s="14">
        <v>45994</v>
      </c>
      <c r="J96" s="1">
        <f>IFERROR(IF(Sheet1!$I96="","",Sheet1!$I96+365),"")</f>
        <v>46359</v>
      </c>
      <c r="K96" s="2">
        <f>IFERROR(IF(Sheet1!$I96="","",Sheet1!$I96+305),"")</f>
        <v>46299</v>
      </c>
    </row>
    <row r="97" spans="1:11" x14ac:dyDescent="0.35">
      <c r="A97" s="9">
        <v>96</v>
      </c>
      <c r="B97" s="10" t="s">
        <v>310</v>
      </c>
      <c r="C97" s="10" t="s">
        <v>311</v>
      </c>
      <c r="D97" s="10" t="s">
        <v>312</v>
      </c>
      <c r="E97" s="10" t="s">
        <v>215</v>
      </c>
      <c r="F97" s="14">
        <v>45805</v>
      </c>
      <c r="G97" s="1">
        <f>IFERROR(IF(Sheet1!$F97="","",Sheet1!$F97+365),"")</f>
        <v>46170</v>
      </c>
      <c r="H97" s="1">
        <f>IFERROR(IF(Sheet1!$F97="","",Sheet1!$F97+335),"")</f>
        <v>46140</v>
      </c>
      <c r="I97" s="14">
        <v>45805</v>
      </c>
      <c r="J97" s="1">
        <f>IFERROR(IF(Sheet1!$I97="","",Sheet1!$I97+365),"")</f>
        <v>46170</v>
      </c>
      <c r="K97" s="2">
        <f>IFERROR(IF(Sheet1!$I97="","",Sheet1!$I97+305),"")</f>
        <v>46110</v>
      </c>
    </row>
    <row r="98" spans="1:11" x14ac:dyDescent="0.35">
      <c r="A98" s="9">
        <v>97</v>
      </c>
      <c r="B98" s="10" t="s">
        <v>313</v>
      </c>
      <c r="C98" s="10" t="s">
        <v>314</v>
      </c>
      <c r="D98" s="11" t="s">
        <v>315</v>
      </c>
      <c r="E98" s="10" t="s">
        <v>37</v>
      </c>
      <c r="F98" s="1">
        <v>46002</v>
      </c>
      <c r="G98" s="1">
        <f>IFERROR(IF(Sheet1!$F98="","",Sheet1!$F98+365),"")</f>
        <v>46367</v>
      </c>
      <c r="H98" s="1">
        <f>IFERROR(IF(Sheet1!$F98="","",Sheet1!$F98+335),"")</f>
        <v>46337</v>
      </c>
      <c r="I98" s="1">
        <v>45967</v>
      </c>
      <c r="J98" s="1">
        <f>IFERROR(IF(Sheet1!$I98="","",Sheet1!$I98+365),"")</f>
        <v>46332</v>
      </c>
      <c r="K98" s="2">
        <f>IFERROR(IF(Sheet1!$I98="","",Sheet1!$I98+305),"")</f>
        <v>46272</v>
      </c>
    </row>
    <row r="99" spans="1:11" x14ac:dyDescent="0.35">
      <c r="A99" s="9">
        <v>98</v>
      </c>
      <c r="B99" s="10" t="s">
        <v>316</v>
      </c>
      <c r="C99" s="10" t="s">
        <v>317</v>
      </c>
      <c r="D99" s="10" t="s">
        <v>318</v>
      </c>
      <c r="E99" s="10" t="s">
        <v>172</v>
      </c>
      <c r="F99" s="1"/>
      <c r="G99" s="1" t="str">
        <f>IFERROR(IF(Sheet1!$F99="","",Sheet1!$F99+365),"")</f>
        <v/>
      </c>
      <c r="H99" s="1" t="str">
        <f>IFERROR(IF(Sheet1!$F99="","",Sheet1!$F99+335),"")</f>
        <v/>
      </c>
      <c r="I99" s="1"/>
      <c r="J99" s="1" t="str">
        <f>IFERROR(IF(Sheet1!$I99="","",Sheet1!$I99+365),"")</f>
        <v/>
      </c>
      <c r="K99" s="2" t="str">
        <f>IFERROR(IF(Sheet1!$I99="","",Sheet1!$I99+305),"")</f>
        <v/>
      </c>
    </row>
    <row r="100" spans="1:11" x14ac:dyDescent="0.35">
      <c r="A100" s="9">
        <v>99</v>
      </c>
      <c r="B100" s="10" t="s">
        <v>319</v>
      </c>
      <c r="C100" s="10" t="s">
        <v>320</v>
      </c>
      <c r="D100" s="11" t="s">
        <v>321</v>
      </c>
      <c r="E100" s="10" t="s">
        <v>63</v>
      </c>
      <c r="F100" s="1">
        <v>45979</v>
      </c>
      <c r="G100" s="1">
        <f>IFERROR(IF(Sheet1!$F100="","",Sheet1!$F100+365),"")</f>
        <v>46344</v>
      </c>
      <c r="H100" s="1">
        <f>IFERROR(IF(Sheet1!$F100="","",Sheet1!$F100+335),"")</f>
        <v>46314</v>
      </c>
      <c r="I100" s="1">
        <v>45912</v>
      </c>
      <c r="J100" s="1">
        <f>IFERROR(IF(Sheet1!$I100="","",Sheet1!$I100+365),"")</f>
        <v>46277</v>
      </c>
      <c r="K100" s="2">
        <f>IFERROR(IF(Sheet1!$I100="","",Sheet1!$I100+305),"")</f>
        <v>46217</v>
      </c>
    </row>
    <row r="101" spans="1:11" x14ac:dyDescent="0.35">
      <c r="A101" s="9">
        <v>100</v>
      </c>
      <c r="B101" s="10" t="s">
        <v>322</v>
      </c>
      <c r="C101" s="10" t="s">
        <v>323</v>
      </c>
      <c r="D101" s="11" t="s">
        <v>324</v>
      </c>
      <c r="E101" s="10" t="s">
        <v>88</v>
      </c>
      <c r="F101" s="1">
        <v>45980</v>
      </c>
      <c r="G101" s="1">
        <f>IFERROR(IF(Sheet1!$F101="","",Sheet1!$F101+365),"")</f>
        <v>46345</v>
      </c>
      <c r="H101" s="1">
        <f>IFERROR(IF(Sheet1!$F101="","",Sheet1!$F101+335),"")</f>
        <v>46315</v>
      </c>
      <c r="I101" s="1">
        <v>45992</v>
      </c>
      <c r="J101" s="1">
        <f>IFERROR(IF(Sheet1!$I101="","",Sheet1!$I101+365),"")</f>
        <v>46357</v>
      </c>
      <c r="K101" s="2">
        <f>IFERROR(IF(Sheet1!$I101="","",Sheet1!$I101+305),"")</f>
        <v>46297</v>
      </c>
    </row>
    <row r="102" spans="1:11" x14ac:dyDescent="0.35">
      <c r="A102" s="9">
        <v>101</v>
      </c>
      <c r="B102" s="10" t="s">
        <v>325</v>
      </c>
      <c r="C102" s="10" t="s">
        <v>326</v>
      </c>
      <c r="D102" s="10" t="s">
        <v>327</v>
      </c>
      <c r="E102" s="10" t="s">
        <v>215</v>
      </c>
      <c r="F102" s="1">
        <v>45793</v>
      </c>
      <c r="G102" s="1">
        <f>IFERROR(IF(Sheet1!$F102="","",Sheet1!$F102+365),"")</f>
        <v>46158</v>
      </c>
      <c r="H102" s="1">
        <f>IFERROR(IF(Sheet1!$F102="","",Sheet1!$F102+335),"")</f>
        <v>46128</v>
      </c>
      <c r="I102" s="1">
        <v>45782</v>
      </c>
      <c r="J102" s="1">
        <f>IFERROR(IF(Sheet1!$I102="","",Sheet1!$I102+365),"")</f>
        <v>46147</v>
      </c>
      <c r="K102" s="2">
        <f>IFERROR(IF(Sheet1!$I102="","",Sheet1!$I102+305),"")</f>
        <v>46087</v>
      </c>
    </row>
    <row r="103" spans="1:11" x14ac:dyDescent="0.35">
      <c r="A103" s="9">
        <v>102</v>
      </c>
      <c r="B103" s="10" t="s">
        <v>328</v>
      </c>
      <c r="C103" s="10" t="s">
        <v>329</v>
      </c>
      <c r="D103" s="11" t="s">
        <v>330</v>
      </c>
      <c r="E103" s="10" t="s">
        <v>37</v>
      </c>
      <c r="F103" s="1">
        <v>45983</v>
      </c>
      <c r="G103" s="1">
        <f>IFERROR(IF(Sheet1!$F103="","",Sheet1!$F103+365),"")</f>
        <v>46348</v>
      </c>
      <c r="H103" s="1">
        <f>IFERROR(IF(Sheet1!$F103="","",Sheet1!$F103+335),"")</f>
        <v>46318</v>
      </c>
      <c r="I103" s="1">
        <v>45960</v>
      </c>
      <c r="J103" s="1">
        <f>IFERROR(IF(Sheet1!$I103="","",Sheet1!$I103+365),"")</f>
        <v>46325</v>
      </c>
      <c r="K103" s="2">
        <f>IFERROR(IF(Sheet1!$I103="","",Sheet1!$I103+305),"")</f>
        <v>46265</v>
      </c>
    </row>
    <row r="104" spans="1:11" x14ac:dyDescent="0.35">
      <c r="A104" s="9">
        <v>103</v>
      </c>
      <c r="B104" s="10" t="s">
        <v>331</v>
      </c>
      <c r="C104" s="10" t="s">
        <v>332</v>
      </c>
      <c r="D104" s="11" t="s">
        <v>333</v>
      </c>
      <c r="E104" s="10" t="s">
        <v>14</v>
      </c>
      <c r="F104" s="1">
        <v>45979</v>
      </c>
      <c r="G104" s="1">
        <f>IFERROR(IF(Sheet1!$F104="","",Sheet1!$F104+365),"")</f>
        <v>46344</v>
      </c>
      <c r="H104" s="1">
        <f>IFERROR(IF(Sheet1!$F104="","",Sheet1!$F104+335),"")</f>
        <v>46314</v>
      </c>
      <c r="I104" s="1">
        <v>45930</v>
      </c>
      <c r="J104" s="1">
        <f>IFERROR(IF(Sheet1!$I104="","",Sheet1!$I104+365),"")</f>
        <v>46295</v>
      </c>
      <c r="K104" s="2">
        <f>IFERROR(IF(Sheet1!$I104="","",Sheet1!$I104+305),"")</f>
        <v>46235</v>
      </c>
    </row>
    <row r="105" spans="1:11" x14ac:dyDescent="0.35">
      <c r="A105" s="9">
        <v>104</v>
      </c>
      <c r="B105" s="12" t="s">
        <v>334</v>
      </c>
      <c r="C105" s="12" t="s">
        <v>335</v>
      </c>
      <c r="D105" s="13" t="s">
        <v>336</v>
      </c>
      <c r="E105" s="12" t="s">
        <v>22</v>
      </c>
      <c r="F105" s="14">
        <v>45981</v>
      </c>
      <c r="G105" s="1">
        <f>IFERROR(IF(Sheet1!$F105="","",Sheet1!$F105+365),"")</f>
        <v>46346</v>
      </c>
      <c r="H105" s="1">
        <f>IFERROR(IF(Sheet1!$F105="","",Sheet1!$F105+335),"")</f>
        <v>46316</v>
      </c>
      <c r="I105" s="14">
        <v>45994</v>
      </c>
      <c r="J105" s="1">
        <f>IFERROR(IF(Sheet1!$I105="","",Sheet1!$I105+365),"")</f>
        <v>46359</v>
      </c>
      <c r="K105" s="2">
        <f>IFERROR(IF(Sheet1!$I105="","",Sheet1!$I105+305),"")</f>
        <v>46299</v>
      </c>
    </row>
    <row r="106" spans="1:11" x14ac:dyDescent="0.35">
      <c r="A106" s="9">
        <v>105</v>
      </c>
      <c r="B106" s="10" t="s">
        <v>337</v>
      </c>
      <c r="C106" s="10" t="s">
        <v>338</v>
      </c>
      <c r="D106" s="11" t="s">
        <v>339</v>
      </c>
      <c r="E106" s="10" t="s">
        <v>14</v>
      </c>
      <c r="F106" s="1">
        <v>45980</v>
      </c>
      <c r="G106" s="1">
        <f>IFERROR(IF(Sheet1!$F106="","",Sheet1!$F106+365),"")</f>
        <v>46345</v>
      </c>
      <c r="H106" s="1">
        <f>IFERROR(IF(Sheet1!$F106="","",Sheet1!$F106+335),"")</f>
        <v>46315</v>
      </c>
      <c r="I106" s="1">
        <v>45905</v>
      </c>
      <c r="J106" s="1">
        <f>IFERROR(IF(Sheet1!$I106="","",Sheet1!$I106+365),"")</f>
        <v>46270</v>
      </c>
      <c r="K106" s="2">
        <f>IFERROR(IF(Sheet1!$I106="","",Sheet1!$I106+305),"")</f>
        <v>46210</v>
      </c>
    </row>
    <row r="107" spans="1:11" x14ac:dyDescent="0.35">
      <c r="A107" s="9">
        <v>106</v>
      </c>
      <c r="B107" s="10" t="s">
        <v>340</v>
      </c>
      <c r="C107" s="10" t="s">
        <v>341</v>
      </c>
      <c r="D107" s="11" t="s">
        <v>342</v>
      </c>
      <c r="E107" s="10" t="s">
        <v>18</v>
      </c>
      <c r="F107" s="1">
        <v>45978</v>
      </c>
      <c r="G107" s="1">
        <f>IFERROR(IF(Sheet1!$F107="","",Sheet1!$F107+365),"")</f>
        <v>46343</v>
      </c>
      <c r="H107" s="1">
        <f>IFERROR(IF(Sheet1!$F107="","",Sheet1!$F107+335),"")</f>
        <v>46313</v>
      </c>
      <c r="I107" s="1">
        <v>45954</v>
      </c>
      <c r="J107" s="1">
        <f>IFERROR(IF(Sheet1!$I107="","",Sheet1!$I107+365),"")</f>
        <v>46319</v>
      </c>
      <c r="K107" s="2">
        <f>IFERROR(IF(Sheet1!$I107="","",Sheet1!$I107+305),"")</f>
        <v>46259</v>
      </c>
    </row>
    <row r="108" spans="1:11" x14ac:dyDescent="0.35">
      <c r="A108" s="9">
        <v>107</v>
      </c>
      <c r="B108" s="10" t="s">
        <v>343</v>
      </c>
      <c r="C108" s="10" t="s">
        <v>344</v>
      </c>
      <c r="D108" s="11" t="s">
        <v>345</v>
      </c>
      <c r="E108" s="10" t="s">
        <v>14</v>
      </c>
      <c r="F108" s="1">
        <v>45979</v>
      </c>
      <c r="G108" s="1">
        <f>IFERROR(IF(Sheet1!$F108="","",Sheet1!$F108+365),"")</f>
        <v>46344</v>
      </c>
      <c r="H108" s="1">
        <f>IFERROR(IF(Sheet1!$F108="","",Sheet1!$F108+335),"")</f>
        <v>46314</v>
      </c>
      <c r="I108" s="1">
        <v>45910</v>
      </c>
      <c r="J108" s="1">
        <f>IFERROR(IF(Sheet1!$I108="","",Sheet1!$I108+365),"")</f>
        <v>46275</v>
      </c>
      <c r="K108" s="2">
        <f>IFERROR(IF(Sheet1!$I108="","",Sheet1!$I108+305),"")</f>
        <v>46215</v>
      </c>
    </row>
    <row r="109" spans="1:11" x14ac:dyDescent="0.35">
      <c r="A109" s="9">
        <v>108</v>
      </c>
      <c r="B109" s="10" t="s">
        <v>346</v>
      </c>
      <c r="C109" s="10" t="s">
        <v>347</v>
      </c>
      <c r="D109" s="11" t="s">
        <v>348</v>
      </c>
      <c r="E109" s="10" t="s">
        <v>14</v>
      </c>
      <c r="F109" s="1">
        <v>45987</v>
      </c>
      <c r="G109" s="1">
        <f>IFERROR(IF(Sheet1!$F109="","",Sheet1!$F109+365),"")</f>
        <v>46352</v>
      </c>
      <c r="H109" s="1">
        <f>IFERROR(IF(Sheet1!$F109="","",Sheet1!$F109+335),"")</f>
        <v>46322</v>
      </c>
      <c r="I109" s="1">
        <v>45939</v>
      </c>
      <c r="J109" s="1">
        <f>IFERROR(IF(Sheet1!$I109="","",Sheet1!$I109+365),"")</f>
        <v>46304</v>
      </c>
      <c r="K109" s="2">
        <f>IFERROR(IF(Sheet1!$I109="","",Sheet1!$I109+305),"")</f>
        <v>46244</v>
      </c>
    </row>
    <row r="110" spans="1:11" x14ac:dyDescent="0.35">
      <c r="A110" s="9">
        <v>109</v>
      </c>
      <c r="B110" s="10" t="s">
        <v>349</v>
      </c>
      <c r="C110" s="10" t="s">
        <v>350</v>
      </c>
      <c r="D110" s="11" t="s">
        <v>351</v>
      </c>
      <c r="E110" s="10" t="s">
        <v>18</v>
      </c>
      <c r="F110" s="1">
        <v>45979</v>
      </c>
      <c r="G110" s="1">
        <f>IFERROR(IF(Sheet1!$F110="","",Sheet1!$F110+365),"")</f>
        <v>46344</v>
      </c>
      <c r="H110" s="1">
        <f>IFERROR(IF(Sheet1!$F110="","",Sheet1!$F110+335),"")</f>
        <v>46314</v>
      </c>
      <c r="I110" s="1">
        <v>45955</v>
      </c>
      <c r="J110" s="1">
        <f>IFERROR(IF(Sheet1!$I110="","",Sheet1!$I110+365),"")</f>
        <v>46320</v>
      </c>
      <c r="K110" s="2">
        <f>IFERROR(IF(Sheet1!$I110="","",Sheet1!$I110+305),"")</f>
        <v>46260</v>
      </c>
    </row>
    <row r="111" spans="1:11" x14ac:dyDescent="0.35">
      <c r="A111" s="9">
        <v>110</v>
      </c>
      <c r="B111" s="10" t="s">
        <v>352</v>
      </c>
      <c r="C111" s="10" t="s">
        <v>353</v>
      </c>
      <c r="D111" s="10" t="s">
        <v>354</v>
      </c>
      <c r="E111" s="10" t="s">
        <v>14</v>
      </c>
      <c r="F111" s="1">
        <v>45996</v>
      </c>
      <c r="G111" s="1">
        <f>IFERROR(IF(Sheet1!$F111="","",Sheet1!$F111+365),"")</f>
        <v>46361</v>
      </c>
      <c r="H111" s="1">
        <f>IFERROR(IF(Sheet1!$F111="","",Sheet1!$F111+335),"")</f>
        <v>46331</v>
      </c>
      <c r="I111" s="1">
        <v>45936</v>
      </c>
      <c r="J111" s="1">
        <f>IFERROR(IF(Sheet1!$I111="","",Sheet1!$I111+365),"")</f>
        <v>46301</v>
      </c>
      <c r="K111" s="2">
        <f>IFERROR(IF(Sheet1!$I111="","",Sheet1!$I111+305),"")</f>
        <v>46241</v>
      </c>
    </row>
    <row r="112" spans="1:11" x14ac:dyDescent="0.35">
      <c r="A112" s="9">
        <v>111</v>
      </c>
      <c r="B112" s="10" t="s">
        <v>355</v>
      </c>
      <c r="C112" s="10" t="s">
        <v>356</v>
      </c>
      <c r="D112" s="11" t="s">
        <v>357</v>
      </c>
      <c r="E112" s="10" t="s">
        <v>37</v>
      </c>
      <c r="F112" s="1">
        <v>45979</v>
      </c>
      <c r="G112" s="1">
        <f>IFERROR(IF(Sheet1!$F112="","",Sheet1!$F112+365),"")</f>
        <v>46344</v>
      </c>
      <c r="H112" s="1">
        <f>IFERROR(IF(Sheet1!$F112="","",Sheet1!$F112+335),"")</f>
        <v>46314</v>
      </c>
      <c r="I112" s="1">
        <v>45976</v>
      </c>
      <c r="J112" s="1">
        <f>IFERROR(IF(Sheet1!$I112="","",Sheet1!$I112+365),"")</f>
        <v>46341</v>
      </c>
      <c r="K112" s="2">
        <f>IFERROR(IF(Sheet1!$I112="","",Sheet1!$I112+305),"")</f>
        <v>46281</v>
      </c>
    </row>
    <row r="113" spans="1:11" x14ac:dyDescent="0.35">
      <c r="A113" s="9">
        <v>112</v>
      </c>
      <c r="B113" s="10" t="s">
        <v>358</v>
      </c>
      <c r="C113" s="10" t="s">
        <v>359</v>
      </c>
      <c r="D113" s="11" t="s">
        <v>360</v>
      </c>
      <c r="E113" s="10" t="s">
        <v>37</v>
      </c>
      <c r="F113" s="1">
        <v>46000</v>
      </c>
      <c r="G113" s="1">
        <f>IFERROR(IF(Sheet1!$F113="","",Sheet1!$F113+365),"")</f>
        <v>46365</v>
      </c>
      <c r="H113" s="1">
        <f>IFERROR(IF(Sheet1!$F113="","",Sheet1!$F113+335),"")</f>
        <v>46335</v>
      </c>
      <c r="I113" s="1">
        <v>45972</v>
      </c>
      <c r="J113" s="1">
        <f>IFERROR(IF(Sheet1!$I113="","",Sheet1!$I113+365),"")</f>
        <v>46337</v>
      </c>
      <c r="K113" s="2">
        <f>IFERROR(IF(Sheet1!$I113="","",Sheet1!$I113+305),"")</f>
        <v>46277</v>
      </c>
    </row>
    <row r="114" spans="1:11" x14ac:dyDescent="0.35">
      <c r="A114" s="9">
        <v>113</v>
      </c>
      <c r="B114" s="12" t="s">
        <v>361</v>
      </c>
      <c r="C114" s="12" t="s">
        <v>362</v>
      </c>
      <c r="D114" s="12" t="s">
        <v>363</v>
      </c>
      <c r="E114" s="12" t="s">
        <v>22</v>
      </c>
      <c r="F114" s="14">
        <v>46076</v>
      </c>
      <c r="G114" s="1">
        <f>IFERROR(IF(Sheet1!$F114="","",Sheet1!$F114+365),"")</f>
        <v>46441</v>
      </c>
      <c r="H114" s="1">
        <f>IFERROR(IF(Sheet1!$F114="","",Sheet1!$F114+335),"")</f>
        <v>46411</v>
      </c>
      <c r="I114" s="14">
        <v>45915</v>
      </c>
      <c r="J114" s="1">
        <f>IFERROR(IF(Sheet1!$I114="","",Sheet1!$I114+365),"")</f>
        <v>46280</v>
      </c>
      <c r="K114" s="2">
        <f>IFERROR(IF(Sheet1!$I114="","",Sheet1!$I114+305),"")</f>
        <v>46220</v>
      </c>
    </row>
    <row r="115" spans="1:11" x14ac:dyDescent="0.35">
      <c r="A115" s="9">
        <v>114</v>
      </c>
      <c r="B115" s="10" t="s">
        <v>364</v>
      </c>
      <c r="C115" s="10" t="s">
        <v>365</v>
      </c>
      <c r="D115" s="11" t="s">
        <v>366</v>
      </c>
      <c r="E115" s="10" t="s">
        <v>26</v>
      </c>
      <c r="F115" s="1">
        <v>45983</v>
      </c>
      <c r="G115" s="1">
        <f>IFERROR(IF(Sheet1!$F115="","",Sheet1!$F115+365),"")</f>
        <v>46348</v>
      </c>
      <c r="H115" s="1">
        <f>IFERROR(IF(Sheet1!$F115="","",Sheet1!$F115+335),"")</f>
        <v>46318</v>
      </c>
      <c r="I115" s="1">
        <v>45918</v>
      </c>
      <c r="J115" s="1">
        <f>IFERROR(IF(Sheet1!$I115="","",Sheet1!$I115+365),"")</f>
        <v>46283</v>
      </c>
      <c r="K115" s="2">
        <f>IFERROR(IF(Sheet1!$I115="","",Sheet1!$I115+305),"")</f>
        <v>46223</v>
      </c>
    </row>
    <row r="116" spans="1:11" x14ac:dyDescent="0.35">
      <c r="A116" s="9">
        <v>115</v>
      </c>
      <c r="B116" s="10" t="s">
        <v>367</v>
      </c>
      <c r="C116" s="10" t="s">
        <v>368</v>
      </c>
      <c r="D116" s="11" t="s">
        <v>369</v>
      </c>
      <c r="E116" s="10" t="s">
        <v>14</v>
      </c>
      <c r="F116" s="1">
        <v>45988</v>
      </c>
      <c r="G116" s="1">
        <f>IFERROR(IF(Sheet1!$F116="","",Sheet1!$F116+365),"")</f>
        <v>46353</v>
      </c>
      <c r="H116" s="1">
        <f>IFERROR(IF(Sheet1!$F116="","",Sheet1!$F116+335),"")</f>
        <v>46323</v>
      </c>
      <c r="I116" s="1">
        <v>45926</v>
      </c>
      <c r="J116" s="1">
        <f>IFERROR(IF(Sheet1!$I116="","",Sheet1!$I116+365),"")</f>
        <v>46291</v>
      </c>
      <c r="K116" s="2">
        <f>IFERROR(IF(Sheet1!$I116="","",Sheet1!$I116+305),"")</f>
        <v>46231</v>
      </c>
    </row>
    <row r="117" spans="1:11" x14ac:dyDescent="0.35">
      <c r="A117" s="9">
        <v>116</v>
      </c>
      <c r="B117" s="10" t="s">
        <v>370</v>
      </c>
      <c r="C117" s="10" t="s">
        <v>371</v>
      </c>
      <c r="D117" s="11" t="s">
        <v>372</v>
      </c>
      <c r="E117" s="10" t="s">
        <v>14</v>
      </c>
      <c r="F117" s="1">
        <v>45984</v>
      </c>
      <c r="G117" s="1">
        <f>IFERROR(IF(Sheet1!$F117="","",Sheet1!$F117+365),"")</f>
        <v>46349</v>
      </c>
      <c r="H117" s="1">
        <f>IFERROR(IF(Sheet1!$F117="","",Sheet1!$F117+335),"")</f>
        <v>46319</v>
      </c>
      <c r="I117" s="1">
        <v>45923</v>
      </c>
      <c r="J117" s="1">
        <f>IFERROR(IF(Sheet1!$I117="","",Sheet1!$I117+365),"")</f>
        <v>46288</v>
      </c>
      <c r="K117" s="2">
        <f>IFERROR(IF(Sheet1!$I117="","",Sheet1!$I117+305),"")</f>
        <v>46228</v>
      </c>
    </row>
    <row r="118" spans="1:11" x14ac:dyDescent="0.35">
      <c r="A118" s="9">
        <v>117</v>
      </c>
      <c r="B118" s="12" t="s">
        <v>373</v>
      </c>
      <c r="C118" s="12" t="s">
        <v>374</v>
      </c>
      <c r="D118" s="12" t="s">
        <v>375</v>
      </c>
      <c r="E118" s="12" t="s">
        <v>376</v>
      </c>
      <c r="F118" s="14">
        <v>45992</v>
      </c>
      <c r="G118" s="1">
        <f>IFERROR(IF(Sheet1!$F118="","",Sheet1!$F118+365),"")</f>
        <v>46357</v>
      </c>
      <c r="H118" s="1">
        <f>IFERROR(IF(Sheet1!$F118="","",Sheet1!$F118+335),"")</f>
        <v>46327</v>
      </c>
      <c r="I118" s="14">
        <v>45915</v>
      </c>
      <c r="J118" s="1">
        <f>IFERROR(IF(Sheet1!$I118="","",Sheet1!$I118+365),"")</f>
        <v>46280</v>
      </c>
      <c r="K118" s="2">
        <f>IFERROR(IF(Sheet1!$I118="","",Sheet1!$I118+305),"")</f>
        <v>46220</v>
      </c>
    </row>
    <row r="119" spans="1:11" x14ac:dyDescent="0.35">
      <c r="A119" s="9">
        <v>118</v>
      </c>
      <c r="B119" s="10" t="s">
        <v>377</v>
      </c>
      <c r="C119" s="10" t="s">
        <v>378</v>
      </c>
      <c r="D119" s="10" t="s">
        <v>379</v>
      </c>
      <c r="E119" s="10" t="s">
        <v>33</v>
      </c>
      <c r="F119" s="1">
        <v>45983</v>
      </c>
      <c r="G119" s="1">
        <f>IFERROR(IF(Sheet1!$F119="","",Sheet1!$F119+365),"")</f>
        <v>46348</v>
      </c>
      <c r="H119" s="1">
        <f>IFERROR(IF(Sheet1!$F119="","",Sheet1!$F119+335),"")</f>
        <v>46318</v>
      </c>
      <c r="I119" s="1">
        <v>45642</v>
      </c>
      <c r="J119" s="1">
        <f>IFERROR(IF(Sheet1!$I119="","",Sheet1!$I119+365),"")</f>
        <v>46007</v>
      </c>
      <c r="K119" s="2">
        <f>IFERROR(IF(Sheet1!$I119="","",Sheet1!$I119+305),"")</f>
        <v>45947</v>
      </c>
    </row>
    <row r="120" spans="1:11" x14ac:dyDescent="0.35">
      <c r="A120" s="9">
        <v>119</v>
      </c>
      <c r="B120" s="10" t="s">
        <v>380</v>
      </c>
      <c r="C120" s="10" t="s">
        <v>381</v>
      </c>
      <c r="D120" s="11" t="s">
        <v>382</v>
      </c>
      <c r="E120" s="10" t="s">
        <v>383</v>
      </c>
      <c r="F120" s="1">
        <v>45993</v>
      </c>
      <c r="G120" s="1">
        <f>IFERROR(IF(Sheet1!$F120="","",Sheet1!$F120+365),"")</f>
        <v>46358</v>
      </c>
      <c r="H120" s="1">
        <f>IFERROR(IF(Sheet1!$F120="","",Sheet1!$F120+335),"")</f>
        <v>46328</v>
      </c>
      <c r="I120" s="1">
        <v>45937</v>
      </c>
      <c r="J120" s="1">
        <f>IFERROR(IF(Sheet1!$I120="","",Sheet1!$I120+365),"")</f>
        <v>46302</v>
      </c>
      <c r="K120" s="2">
        <f>IFERROR(IF(Sheet1!$I120="","",Sheet1!$I120+305),"")</f>
        <v>46242</v>
      </c>
    </row>
    <row r="121" spans="1:11" x14ac:dyDescent="0.35">
      <c r="A121" s="9">
        <v>120</v>
      </c>
      <c r="B121" s="10" t="s">
        <v>384</v>
      </c>
      <c r="C121" s="10" t="s">
        <v>385</v>
      </c>
      <c r="D121" s="11" t="s">
        <v>386</v>
      </c>
      <c r="E121" s="10" t="s">
        <v>14</v>
      </c>
      <c r="F121" s="1">
        <v>45983</v>
      </c>
      <c r="G121" s="1">
        <f>IFERROR(IF(Sheet1!$F121="","",Sheet1!$F121+365),"")</f>
        <v>46348</v>
      </c>
      <c r="H121" s="1">
        <f>IFERROR(IF(Sheet1!$F121="","",Sheet1!$F121+335),"")</f>
        <v>46318</v>
      </c>
      <c r="I121" s="1">
        <v>45932</v>
      </c>
      <c r="J121" s="1">
        <f>IFERROR(IF(Sheet1!$I121="","",Sheet1!$I121+365),"")</f>
        <v>46297</v>
      </c>
      <c r="K121" s="2">
        <f>IFERROR(IF(Sheet1!$I121="","",Sheet1!$I121+305),"")</f>
        <v>46237</v>
      </c>
    </row>
    <row r="122" spans="1:11" x14ac:dyDescent="0.35">
      <c r="A122" s="9">
        <v>121</v>
      </c>
      <c r="B122" s="10" t="s">
        <v>387</v>
      </c>
      <c r="C122" s="10" t="s">
        <v>388</v>
      </c>
      <c r="D122" s="11" t="s">
        <v>389</v>
      </c>
      <c r="E122" s="10" t="s">
        <v>14</v>
      </c>
      <c r="F122" s="1">
        <v>45901</v>
      </c>
      <c r="G122" s="1">
        <f>IFERROR(IF(Sheet1!$F122="","",Sheet1!$F122+365),"")</f>
        <v>46266</v>
      </c>
      <c r="H122" s="1">
        <f>IFERROR(IF(Sheet1!$F122="","",Sheet1!$F122+335),"")</f>
        <v>46236</v>
      </c>
      <c r="I122" s="1">
        <v>45901</v>
      </c>
      <c r="J122" s="1">
        <f>IFERROR(IF(Sheet1!$I122="","",Sheet1!$I122+365),"")</f>
        <v>46266</v>
      </c>
      <c r="K122" s="2">
        <f>IFERROR(IF(Sheet1!$I122="","",Sheet1!$I122+305),"")</f>
        <v>46206</v>
      </c>
    </row>
    <row r="123" spans="1:11" x14ac:dyDescent="0.35">
      <c r="A123" s="9">
        <v>122</v>
      </c>
      <c r="B123" s="10" t="s">
        <v>390</v>
      </c>
      <c r="C123" s="10" t="s">
        <v>391</v>
      </c>
      <c r="D123" s="11" t="s">
        <v>392</v>
      </c>
      <c r="E123" s="10" t="s">
        <v>14</v>
      </c>
      <c r="F123" s="1">
        <v>45982</v>
      </c>
      <c r="G123" s="1">
        <f>IFERROR(IF(Sheet1!$F123="","",Sheet1!$F123+365),"")</f>
        <v>46347</v>
      </c>
      <c r="H123" s="1">
        <f>IFERROR(IF(Sheet1!$F123="","",Sheet1!$F123+335),"")</f>
        <v>46317</v>
      </c>
      <c r="I123" s="1">
        <v>45912</v>
      </c>
      <c r="J123" s="1">
        <f>IFERROR(IF(Sheet1!$I123="","",Sheet1!$I123+365),"")</f>
        <v>46277</v>
      </c>
      <c r="K123" s="2">
        <f>IFERROR(IF(Sheet1!$I123="","",Sheet1!$I123+305),"")</f>
        <v>46217</v>
      </c>
    </row>
    <row r="124" spans="1:11" ht="26" x14ac:dyDescent="0.35">
      <c r="A124" s="9">
        <v>123</v>
      </c>
      <c r="B124" s="12" t="s">
        <v>393</v>
      </c>
      <c r="C124" s="12" t="s">
        <v>394</v>
      </c>
      <c r="D124" s="13" t="s">
        <v>395</v>
      </c>
      <c r="E124" s="12" t="s">
        <v>22</v>
      </c>
      <c r="F124" s="14">
        <v>45987</v>
      </c>
      <c r="G124" s="1">
        <f>IFERROR(IF(Sheet1!$F124="","",Sheet1!$F124+365),"")</f>
        <v>46352</v>
      </c>
      <c r="H124" s="1">
        <f>IFERROR(IF(Sheet1!$F124="","",Sheet1!$F124+335),"")</f>
        <v>46322</v>
      </c>
      <c r="I124" s="14">
        <v>45942</v>
      </c>
      <c r="J124" s="1">
        <f>IFERROR(IF(Sheet1!$I124="","",Sheet1!$I124+365),"")</f>
        <v>46307</v>
      </c>
      <c r="K124" s="2">
        <f>IFERROR(IF(Sheet1!$I124="","",Sheet1!$I124+305),"")</f>
        <v>46247</v>
      </c>
    </row>
    <row r="125" spans="1:11" x14ac:dyDescent="0.35">
      <c r="A125" s="9">
        <v>124</v>
      </c>
      <c r="B125" s="10" t="s">
        <v>396</v>
      </c>
      <c r="C125" s="10" t="s">
        <v>397</v>
      </c>
      <c r="D125" s="10" t="s">
        <v>398</v>
      </c>
      <c r="E125" s="10" t="s">
        <v>399</v>
      </c>
      <c r="F125" s="1"/>
      <c r="G125" s="1" t="str">
        <f>IFERROR(IF(Sheet1!$F125="","",Sheet1!$F125+365),"")</f>
        <v/>
      </c>
      <c r="H125" s="1" t="str">
        <f>IFERROR(IF(Sheet1!$F125="","",Sheet1!$F125+335),"")</f>
        <v/>
      </c>
      <c r="I125" s="1"/>
      <c r="J125" s="1" t="str">
        <f>IFERROR(IF(Sheet1!$I125="","",Sheet1!$I125+365),"")</f>
        <v/>
      </c>
      <c r="K125" s="2" t="str">
        <f>IFERROR(IF(Sheet1!$I125="","",Sheet1!$I125+305),"")</f>
        <v/>
      </c>
    </row>
    <row r="126" spans="1:11" x14ac:dyDescent="0.35">
      <c r="A126" s="9">
        <v>125</v>
      </c>
      <c r="B126" s="10" t="s">
        <v>400</v>
      </c>
      <c r="C126" s="10" t="s">
        <v>401</v>
      </c>
      <c r="D126" s="11" t="s">
        <v>402</v>
      </c>
      <c r="E126" s="10" t="s">
        <v>37</v>
      </c>
      <c r="F126" s="1">
        <v>46001</v>
      </c>
      <c r="G126" s="1">
        <f>IFERROR(IF(Sheet1!$F126="","",Sheet1!$F126+365),"")</f>
        <v>46366</v>
      </c>
      <c r="H126" s="1">
        <f>IFERROR(IF(Sheet1!$F126="","",Sheet1!$F126+335),"")</f>
        <v>46336</v>
      </c>
      <c r="I126" s="1">
        <v>45947</v>
      </c>
      <c r="J126" s="1">
        <f>IFERROR(IF(Sheet1!$I126="","",Sheet1!$I126+365),"")</f>
        <v>46312</v>
      </c>
      <c r="K126" s="2">
        <f>IFERROR(IF(Sheet1!$I126="","",Sheet1!$I126+305),"")</f>
        <v>46252</v>
      </c>
    </row>
    <row r="127" spans="1:11" x14ac:dyDescent="0.35">
      <c r="A127" s="9">
        <v>126</v>
      </c>
      <c r="B127" s="10" t="s">
        <v>403</v>
      </c>
      <c r="C127" s="10" t="s">
        <v>404</v>
      </c>
      <c r="D127" s="11" t="s">
        <v>405</v>
      </c>
      <c r="E127" s="10" t="s">
        <v>37</v>
      </c>
      <c r="F127" s="1">
        <v>46002</v>
      </c>
      <c r="G127" s="1">
        <f>IFERROR(IF(Sheet1!$F127="","",Sheet1!$F127+365),"")</f>
        <v>46367</v>
      </c>
      <c r="H127" s="1">
        <f>IFERROR(IF(Sheet1!$F127="","",Sheet1!$F127+335),"")</f>
        <v>46337</v>
      </c>
      <c r="I127" s="1">
        <v>45990</v>
      </c>
      <c r="J127" s="1">
        <f>IFERROR(IF(Sheet1!$I127="","",Sheet1!$I127+365),"")</f>
        <v>46355</v>
      </c>
      <c r="K127" s="2">
        <f>IFERROR(IF(Sheet1!$I127="","",Sheet1!$I127+305),"")</f>
        <v>46295</v>
      </c>
    </row>
    <row r="128" spans="1:11" x14ac:dyDescent="0.35">
      <c r="A128" s="9">
        <v>127</v>
      </c>
      <c r="B128" s="10" t="s">
        <v>406</v>
      </c>
      <c r="C128" s="10" t="s">
        <v>407</v>
      </c>
      <c r="D128" s="11" t="s">
        <v>408</v>
      </c>
      <c r="E128" s="10" t="s">
        <v>37</v>
      </c>
      <c r="F128" s="1">
        <v>45983</v>
      </c>
      <c r="G128" s="1">
        <f>IFERROR(IF(Sheet1!$F128="","",Sheet1!$F128+365),"")</f>
        <v>46348</v>
      </c>
      <c r="H128" s="1">
        <f>IFERROR(IF(Sheet1!$F128="","",Sheet1!$F128+335),"")</f>
        <v>46318</v>
      </c>
      <c r="I128" s="1">
        <v>45982</v>
      </c>
      <c r="J128" s="1">
        <f>IFERROR(IF(Sheet1!$I128="","",Sheet1!$I128+365),"")</f>
        <v>46347</v>
      </c>
      <c r="K128" s="2">
        <f>IFERROR(IF(Sheet1!$I128="","",Sheet1!$I128+305),"")</f>
        <v>46287</v>
      </c>
    </row>
    <row r="129" spans="1:11" x14ac:dyDescent="0.35">
      <c r="A129" s="9">
        <v>128</v>
      </c>
      <c r="B129" s="12" t="s">
        <v>409</v>
      </c>
      <c r="C129" s="12" t="s">
        <v>410</v>
      </c>
      <c r="D129" s="13" t="s">
        <v>411</v>
      </c>
      <c r="E129" s="12" t="s">
        <v>22</v>
      </c>
      <c r="F129" s="14">
        <v>45979</v>
      </c>
      <c r="G129" s="1">
        <f>IFERROR(IF(Sheet1!$F129="","",Sheet1!$F129+365),"")</f>
        <v>46344</v>
      </c>
      <c r="H129" s="1">
        <f>IFERROR(IF(Sheet1!$F129="","",Sheet1!$F129+335),"")</f>
        <v>46314</v>
      </c>
      <c r="I129" s="14">
        <v>45915</v>
      </c>
      <c r="J129" s="1">
        <f>IFERROR(IF(Sheet1!$I129="","",Sheet1!$I129+365),"")</f>
        <v>46280</v>
      </c>
      <c r="K129" s="2">
        <f>IFERROR(IF(Sheet1!$I129="","",Sheet1!$I129+305),"")</f>
        <v>46220</v>
      </c>
    </row>
    <row r="130" spans="1:11" x14ac:dyDescent="0.35">
      <c r="A130" s="9">
        <v>129</v>
      </c>
      <c r="B130" s="12" t="s">
        <v>412</v>
      </c>
      <c r="C130" s="12" t="s">
        <v>413</v>
      </c>
      <c r="D130" s="13" t="s">
        <v>414</v>
      </c>
      <c r="E130" s="10" t="s">
        <v>18</v>
      </c>
      <c r="F130" s="14">
        <v>45981</v>
      </c>
      <c r="G130" s="1">
        <f>IFERROR(IF(Sheet1!$F130="","",Sheet1!$F130+365),"")</f>
        <v>46346</v>
      </c>
      <c r="H130" s="1">
        <f>IFERROR(IF(Sheet1!$F130="","",Sheet1!$F130+335),"")</f>
        <v>46316</v>
      </c>
      <c r="I130" s="14">
        <v>45974</v>
      </c>
      <c r="J130" s="1">
        <f>IFERROR(IF(Sheet1!$I130="","",Sheet1!$I130+365),"")</f>
        <v>46339</v>
      </c>
      <c r="K130" s="2">
        <f>IFERROR(IF(Sheet1!$I130="","",Sheet1!$I130+305),"")</f>
        <v>46279</v>
      </c>
    </row>
    <row r="131" spans="1:11" x14ac:dyDescent="0.35">
      <c r="A131" s="9">
        <v>130</v>
      </c>
      <c r="B131" s="10" t="s">
        <v>415</v>
      </c>
      <c r="C131" s="10" t="s">
        <v>416</v>
      </c>
      <c r="D131" s="10" t="s">
        <v>417</v>
      </c>
      <c r="E131" s="10" t="s">
        <v>399</v>
      </c>
      <c r="F131" s="1"/>
      <c r="G131" s="1" t="str">
        <f>IFERROR(IF(Sheet1!$F131="","",Sheet1!$F131+365),"")</f>
        <v/>
      </c>
      <c r="H131" s="1" t="str">
        <f>IFERROR(IF(Sheet1!$F131="","",Sheet1!$F131+335),"")</f>
        <v/>
      </c>
      <c r="I131" s="1"/>
      <c r="J131" s="1" t="str">
        <f>IFERROR(IF(Sheet1!$I131="","",Sheet1!$I131+365),"")</f>
        <v/>
      </c>
      <c r="K131" s="2" t="str">
        <f>IFERROR(IF(Sheet1!$I131="","",Sheet1!$I131+305),"")</f>
        <v/>
      </c>
    </row>
    <row r="132" spans="1:11" x14ac:dyDescent="0.35">
      <c r="A132" s="9">
        <v>131</v>
      </c>
      <c r="B132" s="10" t="s">
        <v>418</v>
      </c>
      <c r="C132" s="10" t="s">
        <v>419</v>
      </c>
      <c r="D132" s="11" t="s">
        <v>420</v>
      </c>
      <c r="E132" s="10" t="s">
        <v>63</v>
      </c>
      <c r="F132" s="1">
        <v>45979</v>
      </c>
      <c r="G132" s="1">
        <f>IFERROR(IF(Sheet1!$F132="","",Sheet1!$F132+365),"")</f>
        <v>46344</v>
      </c>
      <c r="H132" s="1">
        <f>IFERROR(IF(Sheet1!$F132="","",Sheet1!$F132+335),"")</f>
        <v>46314</v>
      </c>
      <c r="I132" s="1">
        <v>45960</v>
      </c>
      <c r="J132" s="1">
        <f>IFERROR(IF(Sheet1!$I132="","",Sheet1!$I132+365),"")</f>
        <v>46325</v>
      </c>
      <c r="K132" s="2">
        <f>IFERROR(IF(Sheet1!$I132="","",Sheet1!$I132+305),"")</f>
        <v>46265</v>
      </c>
    </row>
    <row r="133" spans="1:11" x14ac:dyDescent="0.35">
      <c r="A133" s="9">
        <v>132</v>
      </c>
      <c r="B133" s="12" t="s">
        <v>421</v>
      </c>
      <c r="C133" s="12" t="s">
        <v>422</v>
      </c>
      <c r="D133" s="12" t="s">
        <v>423</v>
      </c>
      <c r="E133" s="12" t="s">
        <v>22</v>
      </c>
      <c r="F133" s="14">
        <v>45985</v>
      </c>
      <c r="G133" s="1">
        <f>IFERROR(IF(Sheet1!$F133="","",Sheet1!$F133+365),"")</f>
        <v>46350</v>
      </c>
      <c r="H133" s="1">
        <f>IFERROR(IF(Sheet1!$F133="","",Sheet1!$F133+335),"")</f>
        <v>46320</v>
      </c>
      <c r="I133" s="14">
        <v>45992</v>
      </c>
      <c r="J133" s="1">
        <f>IFERROR(IF(Sheet1!$I133="","",Sheet1!$I133+365),"")</f>
        <v>46357</v>
      </c>
      <c r="K133" s="2">
        <f>IFERROR(IF(Sheet1!$I133="","",Sheet1!$I133+305),"")</f>
        <v>46297</v>
      </c>
    </row>
    <row r="134" spans="1:11" x14ac:dyDescent="0.35">
      <c r="A134" s="9">
        <v>133</v>
      </c>
      <c r="B134" s="10" t="s">
        <v>424</v>
      </c>
      <c r="C134" s="12" t="s">
        <v>425</v>
      </c>
      <c r="D134" s="11" t="s">
        <v>426</v>
      </c>
      <c r="E134" s="10" t="s">
        <v>56</v>
      </c>
      <c r="F134" s="1">
        <v>45995</v>
      </c>
      <c r="G134" s="1">
        <f>IFERROR(IF(Sheet1!$F134="","",Sheet1!$F134+365),"")</f>
        <v>46360</v>
      </c>
      <c r="H134" s="1">
        <f>IFERROR(IF(Sheet1!$F134="","",Sheet1!$F134+335),"")</f>
        <v>46330</v>
      </c>
      <c r="I134" s="1">
        <v>45966</v>
      </c>
      <c r="J134" s="1">
        <f>IFERROR(IF(Sheet1!$I134="","",Sheet1!$I134+365),"")</f>
        <v>46331</v>
      </c>
      <c r="K134" s="2">
        <f>IFERROR(IF(Sheet1!$I134="","",Sheet1!$I134+305),"")</f>
        <v>46271</v>
      </c>
    </row>
    <row r="135" spans="1:11" x14ac:dyDescent="0.35">
      <c r="A135" s="9">
        <v>134</v>
      </c>
      <c r="B135" s="10" t="s">
        <v>427</v>
      </c>
      <c r="C135" s="10" t="s">
        <v>428</v>
      </c>
      <c r="D135" s="11" t="s">
        <v>429</v>
      </c>
      <c r="E135" s="10" t="s">
        <v>18</v>
      </c>
      <c r="F135" s="1">
        <v>45979</v>
      </c>
      <c r="G135" s="1">
        <f>IFERROR(IF(Sheet1!$F135="","",Sheet1!$F135+365),"")</f>
        <v>46344</v>
      </c>
      <c r="H135" s="1">
        <f>IFERROR(IF(Sheet1!$F135="","",Sheet1!$F135+335),"")</f>
        <v>46314</v>
      </c>
      <c r="I135" s="1">
        <v>45959</v>
      </c>
      <c r="J135" s="1">
        <f>IFERROR(IF(Sheet1!$I135="","",Sheet1!$I135+365),"")</f>
        <v>46324</v>
      </c>
      <c r="K135" s="2">
        <f>IFERROR(IF(Sheet1!$I135="","",Sheet1!$I135+305),"")</f>
        <v>46264</v>
      </c>
    </row>
    <row r="136" spans="1:11" x14ac:dyDescent="0.35">
      <c r="A136" s="9">
        <v>135</v>
      </c>
      <c r="B136" s="10" t="s">
        <v>430</v>
      </c>
      <c r="C136" s="10" t="s">
        <v>431</v>
      </c>
      <c r="D136" s="11" t="s">
        <v>432</v>
      </c>
      <c r="E136" s="10" t="s">
        <v>37</v>
      </c>
      <c r="F136" s="1">
        <v>45980</v>
      </c>
      <c r="G136" s="1">
        <f>IFERROR(IF(Sheet1!$F136="","",Sheet1!$F136+365),"")</f>
        <v>46345</v>
      </c>
      <c r="H136" s="1">
        <f>IFERROR(IF(Sheet1!$F136="","",Sheet1!$F136+335),"")</f>
        <v>46315</v>
      </c>
      <c r="I136" s="1">
        <v>45942</v>
      </c>
      <c r="J136" s="1">
        <f>IFERROR(IF(Sheet1!$I136="","",Sheet1!$I136+365),"")</f>
        <v>46307</v>
      </c>
      <c r="K136" s="2">
        <f>IFERROR(IF(Sheet1!$I136="","",Sheet1!$I136+305),"")</f>
        <v>46247</v>
      </c>
    </row>
    <row r="137" spans="1:11" x14ac:dyDescent="0.35">
      <c r="A137" s="9">
        <v>136</v>
      </c>
      <c r="B137" s="10" t="s">
        <v>433</v>
      </c>
      <c r="C137" s="10" t="s">
        <v>434</v>
      </c>
      <c r="D137" s="11" t="s">
        <v>435</v>
      </c>
      <c r="E137" s="10" t="s">
        <v>37</v>
      </c>
      <c r="F137" s="1">
        <v>45997</v>
      </c>
      <c r="G137" s="1">
        <f>IFERROR(IF(Sheet1!$F137="","",Sheet1!$F137+365),"")</f>
        <v>46362</v>
      </c>
      <c r="H137" s="1">
        <f>IFERROR(IF(Sheet1!$F137="","",Sheet1!$F137+335),"")</f>
        <v>46332</v>
      </c>
      <c r="I137" s="1">
        <v>45947</v>
      </c>
      <c r="J137" s="1">
        <f>IFERROR(IF(Sheet1!$I137="","",Sheet1!$I137+365),"")</f>
        <v>46312</v>
      </c>
      <c r="K137" s="2">
        <f>IFERROR(IF(Sheet1!$I137="","",Sheet1!$I137+305),"")</f>
        <v>46252</v>
      </c>
    </row>
    <row r="138" spans="1:11" x14ac:dyDescent="0.35">
      <c r="A138" s="9">
        <v>137</v>
      </c>
      <c r="B138" s="10" t="s">
        <v>436</v>
      </c>
      <c r="C138" s="10" t="s">
        <v>437</v>
      </c>
      <c r="D138" s="11" t="s">
        <v>438</v>
      </c>
      <c r="E138" s="10" t="s">
        <v>107</v>
      </c>
      <c r="F138" s="1">
        <v>45982</v>
      </c>
      <c r="G138" s="1">
        <f>IFERROR(IF(Sheet1!$F138="","",Sheet1!$F138+365),"")</f>
        <v>46347</v>
      </c>
      <c r="H138" s="1">
        <f>IFERROR(IF(Sheet1!$F138="","",Sheet1!$F138+335),"")</f>
        <v>46317</v>
      </c>
      <c r="I138" s="1">
        <v>45919</v>
      </c>
      <c r="J138" s="1">
        <f>IFERROR(IF(Sheet1!$I138="","",Sheet1!$I138+365),"")</f>
        <v>46284</v>
      </c>
      <c r="K138" s="2">
        <f>IFERROR(IF(Sheet1!$I138="","",Sheet1!$I138+305),"")</f>
        <v>46224</v>
      </c>
    </row>
    <row r="139" spans="1:11" x14ac:dyDescent="0.35">
      <c r="A139" s="9">
        <v>138</v>
      </c>
      <c r="B139" s="10" t="s">
        <v>439</v>
      </c>
      <c r="C139" s="10" t="s">
        <v>440</v>
      </c>
      <c r="D139" s="11" t="s">
        <v>441</v>
      </c>
      <c r="E139" s="10" t="s">
        <v>37</v>
      </c>
      <c r="F139" s="1">
        <v>45994</v>
      </c>
      <c r="G139" s="1">
        <f>IFERROR(IF(Sheet1!$F139="","",Sheet1!$F139+365),"")</f>
        <v>46359</v>
      </c>
      <c r="H139" s="1">
        <f>IFERROR(IF(Sheet1!$F139="","",Sheet1!$F139+335),"")</f>
        <v>46329</v>
      </c>
      <c r="I139" s="1">
        <v>45982</v>
      </c>
      <c r="J139" s="1">
        <f>IFERROR(IF(Sheet1!$I139="","",Sheet1!$I139+365),"")</f>
        <v>46347</v>
      </c>
      <c r="K139" s="2">
        <f>IFERROR(IF(Sheet1!$I139="","",Sheet1!$I139+305),"")</f>
        <v>46287</v>
      </c>
    </row>
    <row r="140" spans="1:11" x14ac:dyDescent="0.35">
      <c r="A140" s="9">
        <v>139</v>
      </c>
      <c r="B140" s="10" t="s">
        <v>442</v>
      </c>
      <c r="C140" s="10" t="s">
        <v>443</v>
      </c>
      <c r="D140" s="11" t="s">
        <v>444</v>
      </c>
      <c r="E140" s="10" t="s">
        <v>18</v>
      </c>
      <c r="F140" s="1">
        <v>45995</v>
      </c>
      <c r="G140" s="1">
        <f>IFERROR(IF(Sheet1!$F140="","",Sheet1!$F140+365),"")</f>
        <v>46360</v>
      </c>
      <c r="H140" s="1">
        <f>IFERROR(IF(Sheet1!$F140="","",Sheet1!$F140+335),"")</f>
        <v>46330</v>
      </c>
      <c r="I140" s="1">
        <v>45966</v>
      </c>
      <c r="J140" s="1">
        <f>IFERROR(IF(Sheet1!$I140="","",Sheet1!$I140+365),"")</f>
        <v>46331</v>
      </c>
      <c r="K140" s="2">
        <f>IFERROR(IF(Sheet1!$I140="","",Sheet1!$I140+305),"")</f>
        <v>46271</v>
      </c>
    </row>
    <row r="141" spans="1:11" x14ac:dyDescent="0.35">
      <c r="A141" s="9">
        <v>140</v>
      </c>
      <c r="B141" s="10" t="s">
        <v>445</v>
      </c>
      <c r="C141" s="10" t="s">
        <v>446</v>
      </c>
      <c r="D141" s="11" t="s">
        <v>447</v>
      </c>
      <c r="E141" s="10" t="s">
        <v>14</v>
      </c>
      <c r="F141" s="1">
        <v>45881</v>
      </c>
      <c r="G141" s="1">
        <f>IFERROR(IF(Sheet1!$F141="","",Sheet1!$F141+365),"")</f>
        <v>46246</v>
      </c>
      <c r="H141" s="1">
        <f>IFERROR(IF(Sheet1!$F141="","",Sheet1!$F141+335),"")</f>
        <v>46216</v>
      </c>
      <c r="I141" s="1">
        <v>45876</v>
      </c>
      <c r="J141" s="1">
        <f>IFERROR(IF(Sheet1!$I141="","",Sheet1!$I141+365),"")</f>
        <v>46241</v>
      </c>
      <c r="K141" s="2">
        <f>IFERROR(IF(Sheet1!$I141="","",Sheet1!$I141+305),"")</f>
        <v>46181</v>
      </c>
    </row>
    <row r="142" spans="1:11" x14ac:dyDescent="0.35">
      <c r="A142" s="9">
        <v>141</v>
      </c>
      <c r="B142" s="10" t="s">
        <v>448</v>
      </c>
      <c r="C142" s="10" t="s">
        <v>449</v>
      </c>
      <c r="D142" s="11" t="s">
        <v>450</v>
      </c>
      <c r="E142" s="10" t="s">
        <v>14</v>
      </c>
      <c r="F142" s="1">
        <v>45986</v>
      </c>
      <c r="G142" s="1">
        <f>IFERROR(IF(Sheet1!$F142="","",Sheet1!$F142+365),"")</f>
        <v>46351</v>
      </c>
      <c r="H142" s="1">
        <f>IFERROR(IF(Sheet1!$F142="","",Sheet1!$F142+335),"")</f>
        <v>46321</v>
      </c>
      <c r="I142" s="1">
        <v>45926</v>
      </c>
      <c r="J142" s="1">
        <f>IFERROR(IF(Sheet1!$I142="","",Sheet1!$I142+365),"")</f>
        <v>46291</v>
      </c>
      <c r="K142" s="2">
        <f>IFERROR(IF(Sheet1!$I142="","",Sheet1!$I142+305),"")</f>
        <v>46231</v>
      </c>
    </row>
    <row r="143" spans="1:11" x14ac:dyDescent="0.35">
      <c r="A143" s="9">
        <v>142</v>
      </c>
      <c r="B143" s="10" t="s">
        <v>451</v>
      </c>
      <c r="C143" s="10" t="s">
        <v>452</v>
      </c>
      <c r="D143" s="11" t="s">
        <v>453</v>
      </c>
      <c r="E143" s="10" t="s">
        <v>14</v>
      </c>
      <c r="F143" s="1">
        <v>45979</v>
      </c>
      <c r="G143" s="1">
        <f>IFERROR(IF(Sheet1!$F143="","",Sheet1!$F143+365),"")</f>
        <v>46344</v>
      </c>
      <c r="H143" s="1">
        <f>IFERROR(IF(Sheet1!$F143="","",Sheet1!$F143+335),"")</f>
        <v>46314</v>
      </c>
      <c r="I143" s="1">
        <v>45911</v>
      </c>
      <c r="J143" s="1">
        <f>IFERROR(IF(Sheet1!$I143="","",Sheet1!$I143+365),"")</f>
        <v>46276</v>
      </c>
      <c r="K143" s="2">
        <f>IFERROR(IF(Sheet1!$I143="","",Sheet1!$I143+305),"")</f>
        <v>46216</v>
      </c>
    </row>
    <row r="144" spans="1:11" x14ac:dyDescent="0.35">
      <c r="A144" s="9">
        <v>143</v>
      </c>
      <c r="B144" s="10" t="s">
        <v>454</v>
      </c>
      <c r="C144" s="10" t="s">
        <v>455</v>
      </c>
      <c r="D144" s="11" t="s">
        <v>456</v>
      </c>
      <c r="E144" s="10" t="s">
        <v>56</v>
      </c>
      <c r="F144" s="1">
        <v>45898</v>
      </c>
      <c r="G144" s="1">
        <f>IFERROR(IF(Sheet1!$F144="","",Sheet1!$F144+365),"")</f>
        <v>46263</v>
      </c>
      <c r="H144" s="1">
        <f>IFERROR(IF(Sheet1!$F144="","",Sheet1!$F144+335),"")</f>
        <v>46233</v>
      </c>
      <c r="I144" s="1">
        <v>45898</v>
      </c>
      <c r="J144" s="1">
        <f>IFERROR(IF(Sheet1!$I144="","",Sheet1!$I144+365),"")</f>
        <v>46263</v>
      </c>
      <c r="K144" s="2">
        <f>IFERROR(IF(Sheet1!$I144="","",Sheet1!$I144+305),"")</f>
        <v>46203</v>
      </c>
    </row>
    <row r="145" spans="1:11" x14ac:dyDescent="0.35">
      <c r="A145" s="9">
        <v>144</v>
      </c>
      <c r="B145" s="10" t="s">
        <v>457</v>
      </c>
      <c r="C145" s="12" t="s">
        <v>458</v>
      </c>
      <c r="D145" s="11" t="s">
        <v>459</v>
      </c>
      <c r="E145" s="10" t="s">
        <v>56</v>
      </c>
      <c r="F145" s="1">
        <v>45987</v>
      </c>
      <c r="G145" s="1">
        <f>IFERROR(IF(Sheet1!$F145="","",Sheet1!$F145+365),"")</f>
        <v>46352</v>
      </c>
      <c r="H145" s="1">
        <f>IFERROR(IF(Sheet1!$F145="","",Sheet1!$F145+335),"")</f>
        <v>46322</v>
      </c>
      <c r="I145" s="1">
        <v>45971</v>
      </c>
      <c r="J145" s="1">
        <f>IFERROR(IF(Sheet1!$I145="","",Sheet1!$I145+365),"")</f>
        <v>46336</v>
      </c>
      <c r="K145" s="2">
        <f>IFERROR(IF(Sheet1!$I145="","",Sheet1!$I145+305),"")</f>
        <v>46276</v>
      </c>
    </row>
    <row r="146" spans="1:11" x14ac:dyDescent="0.35">
      <c r="A146" s="9">
        <v>145</v>
      </c>
      <c r="B146" s="10" t="s">
        <v>460</v>
      </c>
      <c r="C146" s="10" t="s">
        <v>461</v>
      </c>
      <c r="D146" s="11" t="s">
        <v>462</v>
      </c>
      <c r="E146" s="10" t="s">
        <v>107</v>
      </c>
      <c r="F146" s="1">
        <v>45981</v>
      </c>
      <c r="G146" s="1">
        <f>IFERROR(IF(Sheet1!$F146="","",Sheet1!$F146+365),"")</f>
        <v>46346</v>
      </c>
      <c r="H146" s="1">
        <f>IFERROR(IF(Sheet1!$F146="","",Sheet1!$F146+335),"")</f>
        <v>46316</v>
      </c>
      <c r="I146" s="1">
        <v>45981</v>
      </c>
      <c r="J146" s="1">
        <f>IFERROR(IF(Sheet1!$I146="","",Sheet1!$I146+365),"")</f>
        <v>46346</v>
      </c>
      <c r="K146" s="2">
        <f>IFERROR(IF(Sheet1!$I146="","",Sheet1!$I146+305),"")</f>
        <v>46286</v>
      </c>
    </row>
    <row r="147" spans="1:11" x14ac:dyDescent="0.35">
      <c r="A147" s="9">
        <v>146</v>
      </c>
      <c r="B147" s="10" t="s">
        <v>463</v>
      </c>
      <c r="C147" s="10" t="s">
        <v>464</v>
      </c>
      <c r="D147" s="11" t="s">
        <v>465</v>
      </c>
      <c r="E147" s="10" t="s">
        <v>37</v>
      </c>
      <c r="F147" s="1">
        <v>45978</v>
      </c>
      <c r="G147" s="1">
        <f>IFERROR(IF(Sheet1!$F147="","",Sheet1!$F147+365),"")</f>
        <v>46343</v>
      </c>
      <c r="H147" s="1">
        <f>IFERROR(IF(Sheet1!$F147="","",Sheet1!$F147+335),"")</f>
        <v>46313</v>
      </c>
      <c r="I147" s="1">
        <v>45978</v>
      </c>
      <c r="J147" s="1">
        <f>IFERROR(IF(Sheet1!$I147="","",Sheet1!$I147+365),"")</f>
        <v>46343</v>
      </c>
      <c r="K147" s="2">
        <f>IFERROR(IF(Sheet1!$I147="","",Sheet1!$I147+305),"")</f>
        <v>46283</v>
      </c>
    </row>
    <row r="148" spans="1:11" x14ac:dyDescent="0.35">
      <c r="A148" s="9">
        <v>147</v>
      </c>
      <c r="B148" s="10" t="s">
        <v>466</v>
      </c>
      <c r="C148" s="10" t="s">
        <v>467</v>
      </c>
      <c r="D148" s="11" t="s">
        <v>468</v>
      </c>
      <c r="E148" s="10" t="s">
        <v>14</v>
      </c>
      <c r="F148" s="1">
        <v>45982</v>
      </c>
      <c r="G148" s="1">
        <f>IFERROR(IF(Sheet1!$F148="","",Sheet1!$F148+365),"")</f>
        <v>46347</v>
      </c>
      <c r="H148" s="1">
        <f>IFERROR(IF(Sheet1!$F148="","",Sheet1!$F148+335),"")</f>
        <v>46317</v>
      </c>
      <c r="I148" s="1">
        <v>45932</v>
      </c>
      <c r="J148" s="1">
        <f>IFERROR(IF(Sheet1!$I148="","",Sheet1!$I148+365),"")</f>
        <v>46297</v>
      </c>
      <c r="K148" s="2">
        <f>IFERROR(IF(Sheet1!$I148="","",Sheet1!$I148+305),"")</f>
        <v>46237</v>
      </c>
    </row>
    <row r="149" spans="1:11" x14ac:dyDescent="0.35">
      <c r="A149" s="9">
        <v>148</v>
      </c>
      <c r="B149" s="10" t="s">
        <v>469</v>
      </c>
      <c r="C149" s="10" t="s">
        <v>470</v>
      </c>
      <c r="D149" s="11" t="s">
        <v>471</v>
      </c>
      <c r="E149" s="10" t="s">
        <v>14</v>
      </c>
      <c r="F149" s="1">
        <v>45979</v>
      </c>
      <c r="G149" s="1">
        <f>IFERROR(IF(Sheet1!$F149="","",Sheet1!$F149+365),"")</f>
        <v>46344</v>
      </c>
      <c r="H149" s="1">
        <f>IFERROR(IF(Sheet1!$F149="","",Sheet1!$F149+335),"")</f>
        <v>46314</v>
      </c>
      <c r="I149" s="1">
        <v>45903</v>
      </c>
      <c r="J149" s="1">
        <f>IFERROR(IF(Sheet1!$I149="","",Sheet1!$I149+365),"")</f>
        <v>46268</v>
      </c>
      <c r="K149" s="2">
        <f>IFERROR(IF(Sheet1!$I149="","",Sheet1!$I149+305),"")</f>
        <v>46208</v>
      </c>
    </row>
    <row r="150" spans="1:11" x14ac:dyDescent="0.35">
      <c r="A150" s="9">
        <v>149</v>
      </c>
      <c r="B150" s="10" t="s">
        <v>472</v>
      </c>
      <c r="C150" s="10" t="s">
        <v>473</v>
      </c>
      <c r="D150" s="11" t="s">
        <v>474</v>
      </c>
      <c r="E150" s="10" t="s">
        <v>14</v>
      </c>
      <c r="F150" s="1">
        <v>45979</v>
      </c>
      <c r="G150" s="1">
        <f>IFERROR(IF(Sheet1!$F150="","",Sheet1!$F150+365),"")</f>
        <v>46344</v>
      </c>
      <c r="H150" s="1">
        <f>IFERROR(IF(Sheet1!$F150="","",Sheet1!$F150+335),"")</f>
        <v>46314</v>
      </c>
      <c r="I150" s="1">
        <v>45924</v>
      </c>
      <c r="J150" s="1">
        <f>IFERROR(IF(Sheet1!$I150="","",Sheet1!$I150+365),"")</f>
        <v>46289</v>
      </c>
      <c r="K150" s="2">
        <f>IFERROR(IF(Sheet1!$I150="","",Sheet1!$I150+305),"")</f>
        <v>46229</v>
      </c>
    </row>
    <row r="151" spans="1:11" x14ac:dyDescent="0.35">
      <c r="A151" s="9">
        <v>150</v>
      </c>
      <c r="B151" s="10" t="s">
        <v>475</v>
      </c>
      <c r="C151" s="10" t="s">
        <v>476</v>
      </c>
      <c r="D151" s="11" t="s">
        <v>477</v>
      </c>
      <c r="E151" s="10" t="s">
        <v>37</v>
      </c>
      <c r="F151" s="1">
        <v>45891</v>
      </c>
      <c r="G151" s="1">
        <f>IFERROR(IF(Sheet1!$F151="","",Sheet1!$F151+365),"")</f>
        <v>46256</v>
      </c>
      <c r="H151" s="1">
        <f>IFERROR(IF(Sheet1!$F151="","",Sheet1!$F151+335),"")</f>
        <v>46226</v>
      </c>
      <c r="I151" s="1">
        <v>45890</v>
      </c>
      <c r="J151" s="1">
        <f>IFERROR(IF(Sheet1!$I151="","",Sheet1!$I151+365),"")</f>
        <v>46255</v>
      </c>
      <c r="K151" s="2">
        <f>IFERROR(IF(Sheet1!$I151="","",Sheet1!$I151+305),"")</f>
        <v>46195</v>
      </c>
    </row>
    <row r="152" spans="1:11" x14ac:dyDescent="0.35">
      <c r="A152" s="9">
        <v>151</v>
      </c>
      <c r="B152" s="10" t="s">
        <v>478</v>
      </c>
      <c r="C152" s="10" t="s">
        <v>479</v>
      </c>
      <c r="D152" s="15" t="s">
        <v>480</v>
      </c>
      <c r="E152" s="10" t="s">
        <v>141</v>
      </c>
      <c r="F152" s="1">
        <v>45999</v>
      </c>
      <c r="G152" s="1">
        <f>IFERROR(IF(Sheet1!$F152="","",Sheet1!$F152+365),"")</f>
        <v>46364</v>
      </c>
      <c r="H152" s="1">
        <f>IFERROR(IF(Sheet1!$F152="","",Sheet1!$F152+335),"")</f>
        <v>46334</v>
      </c>
      <c r="I152" s="1">
        <v>46000</v>
      </c>
      <c r="J152" s="1">
        <f>IFERROR(IF(Sheet1!$I152="","",Sheet1!$I152+365),"")</f>
        <v>46365</v>
      </c>
      <c r="K152" s="2">
        <f>IFERROR(IF(Sheet1!$I152="","",Sheet1!$I152+305),"")</f>
        <v>46305</v>
      </c>
    </row>
    <row r="153" spans="1:11" x14ac:dyDescent="0.35">
      <c r="A153" s="9">
        <v>152</v>
      </c>
      <c r="B153" s="10" t="s">
        <v>481</v>
      </c>
      <c r="C153" s="10" t="s">
        <v>482</v>
      </c>
      <c r="D153" s="10" t="s">
        <v>483</v>
      </c>
      <c r="E153" s="10" t="s">
        <v>172</v>
      </c>
      <c r="F153" s="1">
        <v>45994</v>
      </c>
      <c r="G153" s="1">
        <f>IFERROR(IF(Sheet1!$F153="","",Sheet1!$F153+365),"")</f>
        <v>46359</v>
      </c>
      <c r="H153" s="1">
        <f>IFERROR(IF(Sheet1!$F153="","",Sheet1!$F153+335),"")</f>
        <v>46329</v>
      </c>
      <c r="I153" s="1">
        <v>45936</v>
      </c>
      <c r="J153" s="1">
        <f>IFERROR(IF(Sheet1!$I153="","",Sheet1!$I153+365),"")</f>
        <v>46301</v>
      </c>
      <c r="K153" s="2">
        <f>IFERROR(IF(Sheet1!$I153="","",Sheet1!$I153+305),"")</f>
        <v>46241</v>
      </c>
    </row>
    <row r="154" spans="1:11" x14ac:dyDescent="0.35">
      <c r="A154" s="9">
        <v>153</v>
      </c>
      <c r="B154" s="12" t="s">
        <v>485</v>
      </c>
      <c r="C154" s="12" t="s">
        <v>486</v>
      </c>
      <c r="D154" s="13" t="s">
        <v>487</v>
      </c>
      <c r="E154" s="10" t="s">
        <v>18</v>
      </c>
      <c r="F154" s="14">
        <v>45995</v>
      </c>
      <c r="G154" s="1">
        <f>IFERROR(IF(Sheet1!$F154="","",Sheet1!$F154+365),"")</f>
        <v>46360</v>
      </c>
      <c r="H154" s="1">
        <f>IFERROR(IF(Sheet1!$F154="","",Sheet1!$F154+335),"")</f>
        <v>46330</v>
      </c>
      <c r="I154" s="14">
        <v>45972</v>
      </c>
      <c r="J154" s="1">
        <f>IFERROR(IF(Sheet1!$I154="","",Sheet1!$I154+365),"")</f>
        <v>46337</v>
      </c>
      <c r="K154" s="2">
        <f>IFERROR(IF(Sheet1!$I154="","",Sheet1!$I154+305),"")</f>
        <v>46277</v>
      </c>
    </row>
    <row r="155" spans="1:11" x14ac:dyDescent="0.35">
      <c r="A155" s="9">
        <v>154</v>
      </c>
      <c r="B155" s="10" t="s">
        <v>488</v>
      </c>
      <c r="C155" s="10" t="s">
        <v>489</v>
      </c>
      <c r="D155" s="10" t="s">
        <v>490</v>
      </c>
      <c r="E155" s="10" t="s">
        <v>484</v>
      </c>
      <c r="F155" s="14">
        <v>45998</v>
      </c>
      <c r="G155" s="1">
        <f>IFERROR(IF(Sheet1!$F155="","",Sheet1!$F155+365),"")</f>
        <v>46363</v>
      </c>
      <c r="H155" s="1">
        <f>IFERROR(IF(Sheet1!$F155="","",Sheet1!$F155+335),"")</f>
        <v>46333</v>
      </c>
      <c r="I155" s="1">
        <v>45997</v>
      </c>
      <c r="J155" s="1">
        <f>IFERROR(IF(Sheet1!$I155="","",Sheet1!$I155+365),"")</f>
        <v>46362</v>
      </c>
      <c r="K155" s="2">
        <f>IFERROR(IF(Sheet1!$I155="","",Sheet1!$I155+305),"")</f>
        <v>46302</v>
      </c>
    </row>
    <row r="156" spans="1:11" x14ac:dyDescent="0.35">
      <c r="A156" s="9">
        <v>155</v>
      </c>
      <c r="B156" s="10" t="s">
        <v>491</v>
      </c>
      <c r="C156" s="10" t="s">
        <v>492</v>
      </c>
      <c r="D156" s="10" t="s">
        <v>493</v>
      </c>
      <c r="E156" s="10" t="s">
        <v>172</v>
      </c>
      <c r="F156" s="1"/>
      <c r="G156" s="1" t="str">
        <f>IFERROR(IF(Sheet1!$F156="","",Sheet1!$F156+365),"")</f>
        <v/>
      </c>
      <c r="H156" s="1" t="str">
        <f>IFERROR(IF(Sheet1!$F156="","",Sheet1!$F156+335),"")</f>
        <v/>
      </c>
      <c r="I156" s="1"/>
      <c r="J156" s="1" t="str">
        <f>IFERROR(IF(Sheet1!$I156="","",Sheet1!$I156+365),"")</f>
        <v/>
      </c>
      <c r="K156" s="2" t="str">
        <f>IFERROR(IF(Sheet1!$I156="","",Sheet1!$I156+305),"")</f>
        <v/>
      </c>
    </row>
    <row r="157" spans="1:11" x14ac:dyDescent="0.35">
      <c r="A157" s="9">
        <v>156</v>
      </c>
      <c r="B157" s="12" t="s">
        <v>494</v>
      </c>
      <c r="C157" s="12" t="s">
        <v>495</v>
      </c>
      <c r="D157" s="13" t="s">
        <v>496</v>
      </c>
      <c r="E157" s="12" t="s">
        <v>22</v>
      </c>
      <c r="F157" s="14">
        <v>45983</v>
      </c>
      <c r="G157" s="1">
        <f>IFERROR(IF(Sheet1!$F157="","",Sheet1!$F157+365),"")</f>
        <v>46348</v>
      </c>
      <c r="H157" s="1">
        <f>IFERROR(IF(Sheet1!$F157="","",Sheet1!$F157+335),"")</f>
        <v>46318</v>
      </c>
      <c r="I157" s="14">
        <v>45992</v>
      </c>
      <c r="J157" s="1">
        <f>IFERROR(IF(Sheet1!$I157="","",Sheet1!$I157+365),"")</f>
        <v>46357</v>
      </c>
      <c r="K157" s="2">
        <f>IFERROR(IF(Sheet1!$I157="","",Sheet1!$I157+305),"")</f>
        <v>46297</v>
      </c>
    </row>
    <row r="158" spans="1:11" x14ac:dyDescent="0.35">
      <c r="A158" s="9">
        <v>157</v>
      </c>
      <c r="B158" s="10" t="s">
        <v>497</v>
      </c>
      <c r="C158" s="10" t="s">
        <v>498</v>
      </c>
      <c r="D158" s="11" t="s">
        <v>499</v>
      </c>
      <c r="E158" s="10" t="s">
        <v>37</v>
      </c>
      <c r="F158" s="1">
        <v>45978</v>
      </c>
      <c r="G158" s="1">
        <f>IFERROR(IF(Sheet1!$F158="","",Sheet1!$F158+365),"")</f>
        <v>46343</v>
      </c>
      <c r="H158" s="1">
        <f>IFERROR(IF(Sheet1!$F158="","",Sheet1!$F158+335),"")</f>
        <v>46313</v>
      </c>
      <c r="I158" s="1">
        <v>45993</v>
      </c>
      <c r="J158" s="1">
        <f>IFERROR(IF(Sheet1!$I158="","",Sheet1!$I158+365),"")</f>
        <v>46358</v>
      </c>
      <c r="K158" s="2">
        <f>IFERROR(IF(Sheet1!$I158="","",Sheet1!$I158+305),"")</f>
        <v>46298</v>
      </c>
    </row>
    <row r="159" spans="1:11" x14ac:dyDescent="0.35">
      <c r="A159" s="9">
        <v>158</v>
      </c>
      <c r="B159" s="10" t="s">
        <v>500</v>
      </c>
      <c r="C159" s="10" t="s">
        <v>501</v>
      </c>
      <c r="D159" s="11" t="s">
        <v>502</v>
      </c>
      <c r="E159" s="10" t="s">
        <v>18</v>
      </c>
      <c r="F159" s="1">
        <v>45983</v>
      </c>
      <c r="G159" s="1">
        <f>IFERROR(IF(Sheet1!$F159="","",Sheet1!$F159+365),"")</f>
        <v>46348</v>
      </c>
      <c r="H159" s="1">
        <f>IFERROR(IF(Sheet1!$F159="","",Sheet1!$F159+335),"")</f>
        <v>46318</v>
      </c>
      <c r="I159" s="1">
        <v>45936</v>
      </c>
      <c r="J159" s="1">
        <f>IFERROR(IF(Sheet1!$I159="","",Sheet1!$I159+365),"")</f>
        <v>46301</v>
      </c>
      <c r="K159" s="2">
        <f>IFERROR(IF(Sheet1!$I159="","",Sheet1!$I159+305),"")</f>
        <v>46241</v>
      </c>
    </row>
    <row r="160" spans="1:11" x14ac:dyDescent="0.35">
      <c r="A160" s="9">
        <v>159</v>
      </c>
      <c r="B160" s="12" t="s">
        <v>503</v>
      </c>
      <c r="C160" s="12" t="s">
        <v>504</v>
      </c>
      <c r="D160" s="12" t="s">
        <v>505</v>
      </c>
      <c r="E160" s="12" t="s">
        <v>22</v>
      </c>
      <c r="F160" s="14">
        <v>45989</v>
      </c>
      <c r="G160" s="1">
        <f>IFERROR(IF(Sheet1!$F160="","",Sheet1!$F160+365),"")</f>
        <v>46354</v>
      </c>
      <c r="H160" s="1">
        <f>IFERROR(IF(Sheet1!$F160="","",Sheet1!$F160+335),"")</f>
        <v>46324</v>
      </c>
      <c r="I160" s="14">
        <v>45989</v>
      </c>
      <c r="J160" s="1">
        <f>IFERROR(IF(Sheet1!$I160="","",Sheet1!$I160+365),"")</f>
        <v>46354</v>
      </c>
      <c r="K160" s="2">
        <f>IFERROR(IF(Sheet1!$I160="","",Sheet1!$I160+305),"")</f>
        <v>46294</v>
      </c>
    </row>
    <row r="161" spans="1:11" x14ac:dyDescent="0.35">
      <c r="A161" s="9">
        <v>160</v>
      </c>
      <c r="B161" s="10" t="s">
        <v>503</v>
      </c>
      <c r="C161" s="10" t="s">
        <v>506</v>
      </c>
      <c r="D161" s="10" t="s">
        <v>507</v>
      </c>
      <c r="E161" s="10" t="s">
        <v>215</v>
      </c>
      <c r="F161" s="14">
        <v>45958</v>
      </c>
      <c r="G161" s="1">
        <f>IFERROR(IF(Sheet1!$F161="","",Sheet1!$F161+365),"")</f>
        <v>46323</v>
      </c>
      <c r="H161" s="1">
        <f>IFERROR(IF(Sheet1!$F161="","",Sheet1!$F161+335),"")</f>
        <v>46293</v>
      </c>
      <c r="I161" s="14">
        <v>45958</v>
      </c>
      <c r="J161" s="1">
        <f>IFERROR(IF(Sheet1!$I161="","",Sheet1!$I161+365),"")</f>
        <v>46323</v>
      </c>
      <c r="K161" s="2">
        <f>IFERROR(IF(Sheet1!$I161="","",Sheet1!$I161+305),"")</f>
        <v>46263</v>
      </c>
    </row>
    <row r="162" spans="1:11" x14ac:dyDescent="0.35">
      <c r="A162" s="9">
        <v>161</v>
      </c>
      <c r="B162" s="10" t="s">
        <v>508</v>
      </c>
      <c r="C162" s="10" t="s">
        <v>509</v>
      </c>
      <c r="D162" s="11" t="s">
        <v>510</v>
      </c>
      <c r="E162" s="10" t="s">
        <v>26</v>
      </c>
      <c r="F162" s="1">
        <v>45979</v>
      </c>
      <c r="G162" s="1">
        <f>IFERROR(IF(Sheet1!$F162="","",Sheet1!$F162+365),"")</f>
        <v>46344</v>
      </c>
      <c r="H162" s="1">
        <f>IFERROR(IF(Sheet1!$F162="","",Sheet1!$F162+335),"")</f>
        <v>46314</v>
      </c>
      <c r="I162" s="1">
        <v>45918</v>
      </c>
      <c r="J162" s="1">
        <f>IFERROR(IF(Sheet1!$I162="","",Sheet1!$I162+365),"")</f>
        <v>46283</v>
      </c>
      <c r="K162" s="2">
        <f>IFERROR(IF(Sheet1!$I162="","",Sheet1!$I162+305),"")</f>
        <v>46223</v>
      </c>
    </row>
    <row r="163" spans="1:11" x14ac:dyDescent="0.35">
      <c r="A163" s="9">
        <v>162</v>
      </c>
      <c r="B163" s="10" t="s">
        <v>511</v>
      </c>
      <c r="C163" s="10" t="s">
        <v>512</v>
      </c>
      <c r="D163" s="11" t="s">
        <v>513</v>
      </c>
      <c r="E163" s="10" t="s">
        <v>14</v>
      </c>
      <c r="F163" s="1">
        <v>45979</v>
      </c>
      <c r="G163" s="1">
        <f>IFERROR(IF(Sheet1!$F163="","",Sheet1!$F163+365),"")</f>
        <v>46344</v>
      </c>
      <c r="H163" s="1">
        <f>IFERROR(IF(Sheet1!$F163="","",Sheet1!$F163+335),"")</f>
        <v>46314</v>
      </c>
      <c r="I163" s="1">
        <v>45902</v>
      </c>
      <c r="J163" s="1">
        <f>IFERROR(IF(Sheet1!$I163="","",Sheet1!$I163+365),"")</f>
        <v>46267</v>
      </c>
      <c r="K163" s="2">
        <f>IFERROR(IF(Sheet1!$I163="","",Sheet1!$I163+305),"")</f>
        <v>46207</v>
      </c>
    </row>
    <row r="164" spans="1:11" x14ac:dyDescent="0.35">
      <c r="A164" s="9">
        <v>163</v>
      </c>
      <c r="B164" s="10" t="s">
        <v>514</v>
      </c>
      <c r="C164" s="10" t="s">
        <v>515</v>
      </c>
      <c r="D164" s="11" t="s">
        <v>516</v>
      </c>
      <c r="E164" s="10" t="s">
        <v>26</v>
      </c>
      <c r="F164" s="1">
        <v>45978</v>
      </c>
      <c r="G164" s="1">
        <f>IFERROR(IF(Sheet1!$F164="","",Sheet1!$F164+365),"")</f>
        <v>46343</v>
      </c>
      <c r="H164" s="1">
        <f>IFERROR(IF(Sheet1!$F164="","",Sheet1!$F164+335),"")</f>
        <v>46313</v>
      </c>
      <c r="I164" s="1">
        <v>45919</v>
      </c>
      <c r="J164" s="1">
        <f>IFERROR(IF(Sheet1!$I164="","",Sheet1!$I164+365),"")</f>
        <v>46284</v>
      </c>
      <c r="K164" s="2">
        <f>IFERROR(IF(Sheet1!$I164="","",Sheet1!$I164+305),"")</f>
        <v>46224</v>
      </c>
    </row>
    <row r="165" spans="1:11" x14ac:dyDescent="0.35">
      <c r="A165" s="9">
        <v>164</v>
      </c>
      <c r="B165" s="10" t="s">
        <v>517</v>
      </c>
      <c r="C165" s="10" t="s">
        <v>518</v>
      </c>
      <c r="D165" s="11" t="s">
        <v>519</v>
      </c>
      <c r="E165" s="10" t="s">
        <v>37</v>
      </c>
      <c r="F165" s="1">
        <v>46007</v>
      </c>
      <c r="G165" s="1">
        <f>IFERROR(IF(Sheet1!$F165="","",Sheet1!$F165+365),"")</f>
        <v>46372</v>
      </c>
      <c r="H165" s="1">
        <f>IFERROR(IF(Sheet1!$F165="","",Sheet1!$F165+335),"")</f>
        <v>46342</v>
      </c>
      <c r="I165" s="1">
        <v>45972</v>
      </c>
      <c r="J165" s="1">
        <f>IFERROR(IF(Sheet1!$I165="","",Sheet1!$I165+365),"")</f>
        <v>46337</v>
      </c>
      <c r="K165" s="2">
        <f>IFERROR(IF(Sheet1!$I165="","",Sheet1!$I165+305),"")</f>
        <v>46277</v>
      </c>
    </row>
    <row r="166" spans="1:11" x14ac:dyDescent="0.35">
      <c r="A166" s="9">
        <v>165</v>
      </c>
      <c r="B166" s="10" t="s">
        <v>520</v>
      </c>
      <c r="C166" s="10" t="s">
        <v>521</v>
      </c>
      <c r="D166" s="11" t="s">
        <v>522</v>
      </c>
      <c r="E166" s="10" t="s">
        <v>63</v>
      </c>
      <c r="F166" s="1">
        <v>45996</v>
      </c>
      <c r="G166" s="1">
        <f>IFERROR(IF(Sheet1!$F166="","",Sheet1!$F166+365),"")</f>
        <v>46361</v>
      </c>
      <c r="H166" s="1">
        <f>IFERROR(IF(Sheet1!$F166="","",Sheet1!$F166+335),"")</f>
        <v>46331</v>
      </c>
      <c r="I166" s="1">
        <v>45969</v>
      </c>
      <c r="J166" s="1">
        <f>IFERROR(IF(Sheet1!$I166="","",Sheet1!$I166+365),"")</f>
        <v>46334</v>
      </c>
      <c r="K166" s="2">
        <f>IFERROR(IF(Sheet1!$I166="","",Sheet1!$I166+305),"")</f>
        <v>46274</v>
      </c>
    </row>
    <row r="167" spans="1:11" x14ac:dyDescent="0.35">
      <c r="A167" s="9">
        <v>166</v>
      </c>
      <c r="B167" s="10" t="s">
        <v>523</v>
      </c>
      <c r="C167" s="10" t="s">
        <v>524</v>
      </c>
      <c r="D167" s="11" t="s">
        <v>525</v>
      </c>
      <c r="E167" s="10" t="s">
        <v>63</v>
      </c>
      <c r="F167" s="1">
        <v>45978</v>
      </c>
      <c r="G167" s="1">
        <f>IFERROR(IF(Sheet1!$F167="","",Sheet1!$F167+365),"")</f>
        <v>46343</v>
      </c>
      <c r="H167" s="1">
        <f>IFERROR(IF(Sheet1!$F167="","",Sheet1!$F167+335),"")</f>
        <v>46313</v>
      </c>
      <c r="I167" s="1">
        <v>45973</v>
      </c>
      <c r="J167" s="1">
        <f>IFERROR(IF(Sheet1!$I167="","",Sheet1!$I167+365),"")</f>
        <v>46338</v>
      </c>
      <c r="K167" s="2">
        <f>IFERROR(IF(Sheet1!$I167="","",Sheet1!$I167+305),"")</f>
        <v>46278</v>
      </c>
    </row>
    <row r="168" spans="1:11" x14ac:dyDescent="0.35">
      <c r="A168" s="9">
        <v>167</v>
      </c>
      <c r="B168" s="10" t="s">
        <v>526</v>
      </c>
      <c r="C168" s="10" t="s">
        <v>527</v>
      </c>
      <c r="D168" s="10" t="s">
        <v>528</v>
      </c>
      <c r="E168" s="10" t="s">
        <v>484</v>
      </c>
      <c r="F168" s="1">
        <v>45971</v>
      </c>
      <c r="G168" s="1">
        <f>IFERROR(IF(Sheet1!$F168="","",Sheet1!$F168+365),"")</f>
        <v>46336</v>
      </c>
      <c r="H168" s="1">
        <f>IFERROR(IF(Sheet1!$F168="","",Sheet1!$F168+335),"")</f>
        <v>46306</v>
      </c>
      <c r="I168" s="1">
        <v>45971</v>
      </c>
      <c r="J168" s="1">
        <f>IFERROR(IF(Sheet1!$I168="","",Sheet1!$I168+365),"")</f>
        <v>46336</v>
      </c>
      <c r="K168" s="2">
        <f>IFERROR(IF(Sheet1!$I168="","",Sheet1!$I168+305),"")</f>
        <v>46276</v>
      </c>
    </row>
    <row r="169" spans="1:11" x14ac:dyDescent="0.35">
      <c r="A169" s="9">
        <v>168</v>
      </c>
      <c r="B169" s="10" t="s">
        <v>529</v>
      </c>
      <c r="C169" s="10" t="s">
        <v>530</v>
      </c>
      <c r="D169" s="11" t="s">
        <v>531</v>
      </c>
      <c r="E169" s="10" t="s">
        <v>63</v>
      </c>
      <c r="F169" s="1">
        <v>45981</v>
      </c>
      <c r="G169" s="1">
        <f>IFERROR(IF(Sheet1!$F169="","",Sheet1!$F169+365),"")</f>
        <v>46346</v>
      </c>
      <c r="H169" s="1">
        <f>IFERROR(IF(Sheet1!$F169="","",Sheet1!$F169+335),"")</f>
        <v>46316</v>
      </c>
      <c r="I169" s="1">
        <v>45917</v>
      </c>
      <c r="J169" s="1">
        <f>IFERROR(IF(Sheet1!$I169="","",Sheet1!$I169+365),"")</f>
        <v>46282</v>
      </c>
      <c r="K169" s="2">
        <f>IFERROR(IF(Sheet1!$I169="","",Sheet1!$I169+305),"")</f>
        <v>46222</v>
      </c>
    </row>
    <row r="170" spans="1:11" x14ac:dyDescent="0.35">
      <c r="A170" s="9">
        <v>169</v>
      </c>
      <c r="B170" s="10" t="s">
        <v>532</v>
      </c>
      <c r="C170" s="10" t="s">
        <v>533</v>
      </c>
      <c r="D170" s="11" t="s">
        <v>534</v>
      </c>
      <c r="E170" s="10" t="s">
        <v>18</v>
      </c>
      <c r="F170" s="1">
        <v>46034</v>
      </c>
      <c r="G170" s="1">
        <f>IFERROR(IF(Sheet1!$F170="","",Sheet1!$F170+365),"")</f>
        <v>46399</v>
      </c>
      <c r="H170" s="1">
        <f>IFERROR(IF(Sheet1!$F170="","",Sheet1!$F170+335),"")</f>
        <v>46369</v>
      </c>
      <c r="I170" s="1">
        <v>45979</v>
      </c>
      <c r="J170" s="1">
        <f>IFERROR(IF(Sheet1!$I170="","",Sheet1!$I170+365),"")</f>
        <v>46344</v>
      </c>
      <c r="K170" s="2">
        <f>IFERROR(IF(Sheet1!$I170="","",Sheet1!$I170+305),"")</f>
        <v>46284</v>
      </c>
    </row>
    <row r="171" spans="1:11" x14ac:dyDescent="0.35">
      <c r="A171" s="9">
        <v>170</v>
      </c>
      <c r="B171" s="12" t="s">
        <v>535</v>
      </c>
      <c r="C171" s="12" t="s">
        <v>536</v>
      </c>
      <c r="D171" s="12" t="s">
        <v>537</v>
      </c>
      <c r="E171" s="12" t="s">
        <v>22</v>
      </c>
      <c r="F171" s="14">
        <v>45989</v>
      </c>
      <c r="G171" s="1">
        <f>IFERROR(IF(Sheet1!$F171="","",Sheet1!$F171+365),"")</f>
        <v>46354</v>
      </c>
      <c r="H171" s="1">
        <f>IFERROR(IF(Sheet1!$F171="","",Sheet1!$F171+335),"")</f>
        <v>46324</v>
      </c>
      <c r="I171" s="14">
        <v>45993</v>
      </c>
      <c r="J171" s="1">
        <f>IFERROR(IF(Sheet1!$I171="","",Sheet1!$I171+365),"")</f>
        <v>46358</v>
      </c>
      <c r="K171" s="2">
        <f>IFERROR(IF(Sheet1!$I171="","",Sheet1!$I171+305),"")</f>
        <v>46298</v>
      </c>
    </row>
    <row r="172" spans="1:11" x14ac:dyDescent="0.35">
      <c r="A172" s="9">
        <v>171</v>
      </c>
      <c r="B172" s="10" t="s">
        <v>538</v>
      </c>
      <c r="C172" s="10" t="s">
        <v>539</v>
      </c>
      <c r="D172" s="11" t="s">
        <v>540</v>
      </c>
      <c r="E172" s="10" t="s">
        <v>18</v>
      </c>
      <c r="F172" s="1">
        <v>45989</v>
      </c>
      <c r="G172" s="1">
        <f>IFERROR(IF(Sheet1!$F172="","",Sheet1!$F172+365),"")</f>
        <v>46354</v>
      </c>
      <c r="H172" s="1">
        <f>IFERROR(IF(Sheet1!$F172="","",Sheet1!$F172+335),"")</f>
        <v>46324</v>
      </c>
      <c r="I172" s="1">
        <v>45959</v>
      </c>
      <c r="J172" s="1">
        <f>IFERROR(IF(Sheet1!$I172="","",Sheet1!$I172+365),"")</f>
        <v>46324</v>
      </c>
      <c r="K172" s="2">
        <f>IFERROR(IF(Sheet1!$I172="","",Sheet1!$I172+305),"")</f>
        <v>46264</v>
      </c>
    </row>
    <row r="173" spans="1:11" x14ac:dyDescent="0.35">
      <c r="A173" s="9">
        <v>172</v>
      </c>
      <c r="B173" s="10" t="s">
        <v>541</v>
      </c>
      <c r="C173" s="10" t="s">
        <v>542</v>
      </c>
      <c r="D173" s="11" t="s">
        <v>543</v>
      </c>
      <c r="E173" s="10" t="s">
        <v>14</v>
      </c>
      <c r="F173" s="1">
        <v>45986</v>
      </c>
      <c r="G173" s="1">
        <f>IFERROR(IF(Sheet1!$F173="","",Sheet1!$F173+365),"")</f>
        <v>46351</v>
      </c>
      <c r="H173" s="1">
        <f>IFERROR(IF(Sheet1!$F173="","",Sheet1!$F173+335),"")</f>
        <v>46321</v>
      </c>
      <c r="I173" s="1">
        <v>45930</v>
      </c>
      <c r="J173" s="1">
        <f>IFERROR(IF(Sheet1!$I173="","",Sheet1!$I173+365),"")</f>
        <v>46295</v>
      </c>
      <c r="K173" s="2">
        <f>IFERROR(IF(Sheet1!$I173="","",Sheet1!$I173+305),"")</f>
        <v>46235</v>
      </c>
    </row>
    <row r="174" spans="1:11" x14ac:dyDescent="0.35">
      <c r="A174" s="9">
        <v>173</v>
      </c>
      <c r="B174" s="10" t="s">
        <v>544</v>
      </c>
      <c r="C174" s="10" t="s">
        <v>545</v>
      </c>
      <c r="D174" s="11" t="s">
        <v>546</v>
      </c>
      <c r="E174" s="10" t="s">
        <v>18</v>
      </c>
      <c r="F174" s="1">
        <v>45979</v>
      </c>
      <c r="G174" s="1">
        <f>IFERROR(IF(Sheet1!$F174="","",Sheet1!$F174+365),"")</f>
        <v>46344</v>
      </c>
      <c r="H174" s="1">
        <f>IFERROR(IF(Sheet1!$F174="","",Sheet1!$F174+335),"")</f>
        <v>46314</v>
      </c>
      <c r="I174" s="1">
        <v>45938</v>
      </c>
      <c r="J174" s="1">
        <f>IFERROR(IF(Sheet1!$I174="","",Sheet1!$I174+365),"")</f>
        <v>46303</v>
      </c>
      <c r="K174" s="2">
        <f>IFERROR(IF(Sheet1!$I174="","",Sheet1!$I174+305),"")</f>
        <v>46243</v>
      </c>
    </row>
    <row r="175" spans="1:11" x14ac:dyDescent="0.35">
      <c r="A175" s="9">
        <v>174</v>
      </c>
      <c r="B175" s="10" t="s">
        <v>547</v>
      </c>
      <c r="C175" s="10" t="s">
        <v>548</v>
      </c>
      <c r="D175" s="11" t="s">
        <v>549</v>
      </c>
      <c r="E175" s="10" t="s">
        <v>37</v>
      </c>
      <c r="F175" s="1">
        <v>46003</v>
      </c>
      <c r="G175" s="1">
        <f>IFERROR(IF(Sheet1!$F175="","",Sheet1!$F175+365),"")</f>
        <v>46368</v>
      </c>
      <c r="H175" s="1">
        <f>IFERROR(IF(Sheet1!$F175="","",Sheet1!$F175+335),"")</f>
        <v>46338</v>
      </c>
      <c r="I175" s="1">
        <v>45949</v>
      </c>
      <c r="J175" s="1">
        <f>IFERROR(IF(Sheet1!$I175="","",Sheet1!$I175+365),"")</f>
        <v>46314</v>
      </c>
      <c r="K175" s="2">
        <f>IFERROR(IF(Sheet1!$I175="","",Sheet1!$I175+305),"")</f>
        <v>46254</v>
      </c>
    </row>
    <row r="176" spans="1:11" x14ac:dyDescent="0.35">
      <c r="A176" s="9">
        <v>175</v>
      </c>
      <c r="B176" s="10" t="s">
        <v>550</v>
      </c>
      <c r="C176" s="10" t="s">
        <v>551</v>
      </c>
      <c r="D176" s="11" t="s">
        <v>552</v>
      </c>
      <c r="E176" s="10" t="s">
        <v>14</v>
      </c>
      <c r="F176" s="1">
        <v>45979</v>
      </c>
      <c r="G176" s="1">
        <f>IFERROR(IF(Sheet1!$F176="","",Sheet1!$F176+365),"")</f>
        <v>46344</v>
      </c>
      <c r="H176" s="1">
        <f>IFERROR(IF(Sheet1!$F176="","",Sheet1!$F176+335),"")</f>
        <v>46314</v>
      </c>
      <c r="I176" s="1">
        <v>45910</v>
      </c>
      <c r="J176" s="1">
        <f>IFERROR(IF(Sheet1!$I176="","",Sheet1!$I176+365),"")</f>
        <v>46275</v>
      </c>
      <c r="K176" s="2">
        <f>IFERROR(IF(Sheet1!$I176="","",Sheet1!$I176+305),"")</f>
        <v>46215</v>
      </c>
    </row>
    <row r="177" spans="1:11" x14ac:dyDescent="0.35">
      <c r="A177" s="9">
        <v>176</v>
      </c>
      <c r="B177" s="12" t="s">
        <v>553</v>
      </c>
      <c r="C177" s="12" t="s">
        <v>554</v>
      </c>
      <c r="D177" s="12" t="s">
        <v>555</v>
      </c>
      <c r="E177" s="12" t="s">
        <v>22</v>
      </c>
      <c r="F177" s="14">
        <v>45992</v>
      </c>
      <c r="G177" s="1">
        <f>IFERROR(IF(Sheet1!$F177="","",Sheet1!$F177+365),"")</f>
        <v>46357</v>
      </c>
      <c r="H177" s="1">
        <f>IFERROR(IF(Sheet1!$F177="","",Sheet1!$F177+335),"")</f>
        <v>46327</v>
      </c>
      <c r="I177" s="14">
        <v>45925</v>
      </c>
      <c r="J177" s="1">
        <f>IFERROR(IF(Sheet1!$I177="","",Sheet1!$I177+365),"")</f>
        <v>46290</v>
      </c>
      <c r="K177" s="2">
        <f>IFERROR(IF(Sheet1!$I177="","",Sheet1!$I177+305),"")</f>
        <v>46230</v>
      </c>
    </row>
    <row r="178" spans="1:11" x14ac:dyDescent="0.35">
      <c r="A178" s="9">
        <v>177</v>
      </c>
      <c r="B178" s="10" t="s">
        <v>556</v>
      </c>
      <c r="C178" s="10" t="s">
        <v>557</v>
      </c>
      <c r="D178" s="11" t="s">
        <v>558</v>
      </c>
      <c r="E178" s="10" t="s">
        <v>107</v>
      </c>
      <c r="F178" s="1">
        <v>45983</v>
      </c>
      <c r="G178" s="1">
        <f>IFERROR(IF(Sheet1!$F178="","",Sheet1!$F178+365),"")</f>
        <v>46348</v>
      </c>
      <c r="H178" s="1">
        <f>IFERROR(IF(Sheet1!$F178="","",Sheet1!$F178+335),"")</f>
        <v>46318</v>
      </c>
      <c r="I178" s="1">
        <v>45924</v>
      </c>
      <c r="J178" s="1">
        <f>IFERROR(IF(Sheet1!$I178="","",Sheet1!$I178+365),"")</f>
        <v>46289</v>
      </c>
      <c r="K178" s="2">
        <f>IFERROR(IF(Sheet1!$I178="","",Sheet1!$I178+305),"")</f>
        <v>46229</v>
      </c>
    </row>
    <row r="179" spans="1:11" x14ac:dyDescent="0.35">
      <c r="A179" s="9">
        <v>178</v>
      </c>
      <c r="B179" s="10" t="s">
        <v>559</v>
      </c>
      <c r="C179" s="10" t="s">
        <v>560</v>
      </c>
      <c r="D179" s="11" t="s">
        <v>561</v>
      </c>
      <c r="E179" s="10" t="s">
        <v>14</v>
      </c>
      <c r="F179" s="1">
        <v>45978</v>
      </c>
      <c r="G179" s="1">
        <f>IFERROR(IF(Sheet1!$F179="","",Sheet1!$F179+365),"")</f>
        <v>46343</v>
      </c>
      <c r="H179" s="1">
        <f>IFERROR(IF(Sheet1!$F179="","",Sheet1!$F179+335),"")</f>
        <v>46313</v>
      </c>
      <c r="I179" s="1">
        <v>45912</v>
      </c>
      <c r="J179" s="1">
        <f>IFERROR(IF(Sheet1!$I179="","",Sheet1!$I179+365),"")</f>
        <v>46277</v>
      </c>
      <c r="K179" s="2">
        <f>IFERROR(IF(Sheet1!$I179="","",Sheet1!$I179+305),"")</f>
        <v>46217</v>
      </c>
    </row>
    <row r="180" spans="1:11" x14ac:dyDescent="0.35">
      <c r="A180" s="9">
        <v>179</v>
      </c>
      <c r="B180" s="10" t="s">
        <v>562</v>
      </c>
      <c r="C180" s="10" t="s">
        <v>563</v>
      </c>
      <c r="D180" s="11" t="s">
        <v>564</v>
      </c>
      <c r="E180" s="10" t="s">
        <v>18</v>
      </c>
      <c r="F180" s="1">
        <v>45772</v>
      </c>
      <c r="G180" s="1">
        <f>IFERROR(IF(Sheet1!$F180="","",Sheet1!$F180+365),"")</f>
        <v>46137</v>
      </c>
      <c r="H180" s="1">
        <f>IFERROR(IF(Sheet1!$F180="","",Sheet1!$F180+335),"")</f>
        <v>46107</v>
      </c>
      <c r="I180" s="1">
        <v>45771</v>
      </c>
      <c r="J180" s="1">
        <f>IFERROR(IF(Sheet1!$I180="","",Sheet1!$I180+365),"")</f>
        <v>46136</v>
      </c>
      <c r="K180" s="2">
        <f>IFERROR(IF(Sheet1!$I180="","",Sheet1!$I180+305),"")</f>
        <v>46076</v>
      </c>
    </row>
    <row r="181" spans="1:11" x14ac:dyDescent="0.35">
      <c r="A181" s="9">
        <v>180</v>
      </c>
      <c r="B181" s="10" t="s">
        <v>565</v>
      </c>
      <c r="C181" s="10" t="s">
        <v>566</v>
      </c>
      <c r="D181" s="11" t="s">
        <v>567</v>
      </c>
      <c r="E181" s="10" t="s">
        <v>14</v>
      </c>
      <c r="F181" s="1">
        <v>45979</v>
      </c>
      <c r="G181" s="1">
        <f>IFERROR(IF(Sheet1!$F181="","",Sheet1!$F181+365),"")</f>
        <v>46344</v>
      </c>
      <c r="H181" s="1">
        <f>IFERROR(IF(Sheet1!$F181="","",Sheet1!$F181+335),"")</f>
        <v>46314</v>
      </c>
      <c r="I181" s="1">
        <v>45926</v>
      </c>
      <c r="J181" s="1">
        <f>IFERROR(IF(Sheet1!$I181="","",Sheet1!$I181+365),"")</f>
        <v>46291</v>
      </c>
      <c r="K181" s="2">
        <f>IFERROR(IF(Sheet1!$I181="","",Sheet1!$I181+305),"")</f>
        <v>46231</v>
      </c>
    </row>
    <row r="182" spans="1:11" x14ac:dyDescent="0.35">
      <c r="A182" s="9">
        <v>181</v>
      </c>
      <c r="B182" s="10" t="s">
        <v>568</v>
      </c>
      <c r="C182" s="10" t="s">
        <v>569</v>
      </c>
      <c r="D182" s="11" t="s">
        <v>570</v>
      </c>
      <c r="E182" s="10" t="s">
        <v>18</v>
      </c>
      <c r="F182" s="1">
        <v>45981</v>
      </c>
      <c r="G182" s="1">
        <f>IFERROR(IF(Sheet1!$F182="","",Sheet1!$F182+365),"")</f>
        <v>46346</v>
      </c>
      <c r="H182" s="1">
        <f>IFERROR(IF(Sheet1!$F182="","",Sheet1!$F182+335),"")</f>
        <v>46316</v>
      </c>
      <c r="I182" s="1">
        <v>45999</v>
      </c>
      <c r="J182" s="1">
        <f>IFERROR(IF(Sheet1!$I182="","",Sheet1!$I182+365),"")</f>
        <v>46364</v>
      </c>
      <c r="K182" s="2">
        <f>IFERROR(IF(Sheet1!$I182="","",Sheet1!$I182+305),"")</f>
        <v>46304</v>
      </c>
    </row>
    <row r="183" spans="1:11" x14ac:dyDescent="0.35">
      <c r="A183" s="9">
        <v>182</v>
      </c>
      <c r="B183" s="10" t="s">
        <v>571</v>
      </c>
      <c r="C183" s="10" t="s">
        <v>572</v>
      </c>
      <c r="D183" s="11" t="s">
        <v>573</v>
      </c>
      <c r="E183" s="10" t="s">
        <v>14</v>
      </c>
      <c r="F183" s="1">
        <v>45978</v>
      </c>
      <c r="G183" s="1">
        <f>IFERROR(IF(Sheet1!$F183="","",Sheet1!$F183+365),"")</f>
        <v>46343</v>
      </c>
      <c r="H183" s="1">
        <f>IFERROR(IF(Sheet1!$F183="","",Sheet1!$F183+335),"")</f>
        <v>46313</v>
      </c>
      <c r="I183" s="1">
        <v>45905</v>
      </c>
      <c r="J183" s="1">
        <f>IFERROR(IF(Sheet1!$I183="","",Sheet1!$I183+365),"")</f>
        <v>46270</v>
      </c>
      <c r="K183" s="2">
        <f>IFERROR(IF(Sheet1!$I183="","",Sheet1!$I183+305),"")</f>
        <v>46210</v>
      </c>
    </row>
    <row r="184" spans="1:11" x14ac:dyDescent="0.35">
      <c r="A184" s="9">
        <v>183</v>
      </c>
      <c r="B184" s="10" t="s">
        <v>574</v>
      </c>
      <c r="C184" s="10" t="s">
        <v>575</v>
      </c>
      <c r="D184" s="10" t="s">
        <v>576</v>
      </c>
      <c r="E184" s="10" t="s">
        <v>33</v>
      </c>
      <c r="F184" s="1">
        <v>46039</v>
      </c>
      <c r="G184" s="1">
        <f>IFERROR(IF(Sheet1!$F184="","",Sheet1!$F184+365),"")</f>
        <v>46404</v>
      </c>
      <c r="H184" s="1">
        <f>IFERROR(IF(Sheet1!$F184="","",Sheet1!$F184+335),"")</f>
        <v>46374</v>
      </c>
      <c r="I184" s="1">
        <v>45999</v>
      </c>
      <c r="J184" s="1">
        <f>IFERROR(IF(Sheet1!$I184="","",Sheet1!$I184+365),"")</f>
        <v>46364</v>
      </c>
      <c r="K184" s="2">
        <f>IFERROR(IF(Sheet1!$I184="","",Sheet1!$I184+305),"")</f>
        <v>46304</v>
      </c>
    </row>
    <row r="185" spans="1:11" x14ac:dyDescent="0.35">
      <c r="A185" s="9">
        <v>184</v>
      </c>
      <c r="B185" s="10" t="s">
        <v>577</v>
      </c>
      <c r="C185" s="10" t="s">
        <v>578</v>
      </c>
      <c r="D185" s="11" t="s">
        <v>579</v>
      </c>
      <c r="E185" s="10" t="s">
        <v>37</v>
      </c>
      <c r="F185" s="1">
        <v>45930</v>
      </c>
      <c r="G185" s="1">
        <f>IFERROR(IF(Sheet1!$F185="","",Sheet1!$F185+365),"")</f>
        <v>46295</v>
      </c>
      <c r="H185" s="1">
        <f>IFERROR(IF(Sheet1!$F185="","",Sheet1!$F185+335),"")</f>
        <v>46265</v>
      </c>
      <c r="I185" s="1">
        <v>45930</v>
      </c>
      <c r="J185" s="1">
        <f>IFERROR(IF(Sheet1!$I185="","",Sheet1!$I185+365),"")</f>
        <v>46295</v>
      </c>
      <c r="K185" s="2">
        <f>IFERROR(IF(Sheet1!$I185="","",Sheet1!$I185+305),"")</f>
        <v>46235</v>
      </c>
    </row>
    <row r="186" spans="1:11" x14ac:dyDescent="0.35">
      <c r="A186" s="9">
        <v>185</v>
      </c>
      <c r="B186" s="10" t="s">
        <v>580</v>
      </c>
      <c r="C186" s="10" t="s">
        <v>581</v>
      </c>
      <c r="D186" s="11" t="s">
        <v>582</v>
      </c>
      <c r="E186" s="10" t="s">
        <v>37</v>
      </c>
      <c r="F186" s="1">
        <v>45983</v>
      </c>
      <c r="G186" s="1">
        <f>IFERROR(IF(Sheet1!$F186="","",Sheet1!$F186+365),"")</f>
        <v>46348</v>
      </c>
      <c r="H186" s="1">
        <f>IFERROR(IF(Sheet1!$F186="","",Sheet1!$F186+335),"")</f>
        <v>46318</v>
      </c>
      <c r="I186" s="1">
        <v>45934</v>
      </c>
      <c r="J186" s="1">
        <f>IFERROR(IF(Sheet1!$I186="","",Sheet1!$I186+365),"")</f>
        <v>46299</v>
      </c>
      <c r="K186" s="2">
        <f>IFERROR(IF(Sheet1!$I186="","",Sheet1!$I186+305),"")</f>
        <v>46239</v>
      </c>
    </row>
    <row r="187" spans="1:11" x14ac:dyDescent="0.35">
      <c r="A187" s="9">
        <v>186</v>
      </c>
      <c r="B187" s="12" t="s">
        <v>583</v>
      </c>
      <c r="C187" s="12" t="s">
        <v>584</v>
      </c>
      <c r="D187" s="13" t="s">
        <v>585</v>
      </c>
      <c r="E187" s="10" t="s">
        <v>18</v>
      </c>
      <c r="F187" s="14">
        <v>45999</v>
      </c>
      <c r="G187" s="1">
        <f>IFERROR(IF(Sheet1!$F187="","",Sheet1!$F187+365),"")</f>
        <v>46364</v>
      </c>
      <c r="H187" s="1">
        <f>IFERROR(IF(Sheet1!$F187="","",Sheet1!$F187+335),"")</f>
        <v>46334</v>
      </c>
      <c r="I187" s="14">
        <v>45973</v>
      </c>
      <c r="J187" s="1">
        <f>IFERROR(IF(Sheet1!$I187="","",Sheet1!$I187+365),"")</f>
        <v>46338</v>
      </c>
      <c r="K187" s="2">
        <f>IFERROR(IF(Sheet1!$I187="","",Sheet1!$I187+305),"")</f>
        <v>46278</v>
      </c>
    </row>
    <row r="188" spans="1:11" x14ac:dyDescent="0.35">
      <c r="A188" s="9">
        <v>187</v>
      </c>
      <c r="B188" s="10" t="s">
        <v>586</v>
      </c>
      <c r="C188" s="10" t="s">
        <v>587</v>
      </c>
      <c r="D188" s="11" t="s">
        <v>588</v>
      </c>
      <c r="E188" s="10" t="s">
        <v>107</v>
      </c>
      <c r="F188" s="1">
        <v>45986</v>
      </c>
      <c r="G188" s="1">
        <f>IFERROR(IF(Sheet1!$F188="","",Sheet1!$F188+365),"")</f>
        <v>46351</v>
      </c>
      <c r="H188" s="1">
        <f>IFERROR(IF(Sheet1!$F188="","",Sheet1!$F188+335),"")</f>
        <v>46321</v>
      </c>
      <c r="I188" s="1">
        <v>45916</v>
      </c>
      <c r="J188" s="1">
        <f>IFERROR(IF(Sheet1!$I188="","",Sheet1!$I188+365),"")</f>
        <v>46281</v>
      </c>
      <c r="K188" s="2">
        <f>IFERROR(IF(Sheet1!$I188="","",Sheet1!$I188+305),"")</f>
        <v>46221</v>
      </c>
    </row>
    <row r="189" spans="1:11" x14ac:dyDescent="0.35">
      <c r="A189" s="9">
        <v>188</v>
      </c>
      <c r="B189" s="10" t="s">
        <v>589</v>
      </c>
      <c r="C189" s="10" t="s">
        <v>590</v>
      </c>
      <c r="D189" s="11" t="s">
        <v>591</v>
      </c>
      <c r="E189" s="10" t="s">
        <v>26</v>
      </c>
      <c r="F189" s="1">
        <v>45979</v>
      </c>
      <c r="G189" s="1">
        <f>IFERROR(IF(Sheet1!$F189="","",Sheet1!$F189+365),"")</f>
        <v>46344</v>
      </c>
      <c r="H189" s="1">
        <f>IFERROR(IF(Sheet1!$F189="","",Sheet1!$F189+335),"")</f>
        <v>46314</v>
      </c>
      <c r="I189" s="1">
        <v>45932</v>
      </c>
      <c r="J189" s="1">
        <f>IFERROR(IF(Sheet1!$I189="","",Sheet1!$I189+365),"")</f>
        <v>46297</v>
      </c>
      <c r="K189" s="2">
        <f>IFERROR(IF(Sheet1!$I189="","",Sheet1!$I189+305),"")</f>
        <v>46237</v>
      </c>
    </row>
    <row r="190" spans="1:11" x14ac:dyDescent="0.35">
      <c r="A190" s="9">
        <v>189</v>
      </c>
      <c r="B190" s="10" t="s">
        <v>592</v>
      </c>
      <c r="C190" s="10" t="s">
        <v>593</v>
      </c>
      <c r="D190" s="11" t="s">
        <v>594</v>
      </c>
      <c r="E190" s="10" t="s">
        <v>63</v>
      </c>
      <c r="F190" s="1">
        <v>45978</v>
      </c>
      <c r="G190" s="1">
        <f>IFERROR(IF(Sheet1!$F190="","",Sheet1!$F190+365),"")</f>
        <v>46343</v>
      </c>
      <c r="H190" s="1">
        <f>IFERROR(IF(Sheet1!$F190="","",Sheet1!$F190+335),"")</f>
        <v>46313</v>
      </c>
      <c r="I190" s="1">
        <v>45926</v>
      </c>
      <c r="J190" s="1">
        <f>IFERROR(IF(Sheet1!$I190="","",Sheet1!$I190+365),"")</f>
        <v>46291</v>
      </c>
      <c r="K190" s="2">
        <f>IFERROR(IF(Sheet1!$I190="","",Sheet1!$I190+305),"")</f>
        <v>46231</v>
      </c>
    </row>
    <row r="191" spans="1:11" x14ac:dyDescent="0.35">
      <c r="A191" s="9">
        <v>190</v>
      </c>
      <c r="B191" s="10" t="s">
        <v>595</v>
      </c>
      <c r="C191" s="10" t="s">
        <v>596</v>
      </c>
      <c r="D191" s="11" t="s">
        <v>597</v>
      </c>
      <c r="E191" s="10" t="s">
        <v>88</v>
      </c>
      <c r="F191" s="1">
        <v>45981</v>
      </c>
      <c r="G191" s="1">
        <f>IFERROR(IF(Sheet1!$F191="","",Sheet1!$F191+365),"")</f>
        <v>46346</v>
      </c>
      <c r="H191" s="1">
        <f>IFERROR(IF(Sheet1!$F191="","",Sheet1!$F191+335),"")</f>
        <v>46316</v>
      </c>
      <c r="I191" s="1">
        <v>45989</v>
      </c>
      <c r="J191" s="1">
        <f>IFERROR(IF(Sheet1!$I191="","",Sheet1!$I191+365),"")</f>
        <v>46354</v>
      </c>
      <c r="K191" s="2">
        <f>IFERROR(IF(Sheet1!$I191="","",Sheet1!$I191+305),"")</f>
        <v>46294</v>
      </c>
    </row>
    <row r="192" spans="1:11" x14ac:dyDescent="0.35">
      <c r="A192" s="9">
        <v>191</v>
      </c>
      <c r="B192" s="10" t="s">
        <v>598</v>
      </c>
      <c r="C192" s="10" t="s">
        <v>599</v>
      </c>
      <c r="D192" s="11" t="s">
        <v>600</v>
      </c>
      <c r="E192" s="10" t="s">
        <v>26</v>
      </c>
      <c r="F192" s="1">
        <v>45984</v>
      </c>
      <c r="G192" s="1">
        <f>IFERROR(IF(Sheet1!$F192="","",Sheet1!$F192+365),"")</f>
        <v>46349</v>
      </c>
      <c r="H192" s="1">
        <f>IFERROR(IF(Sheet1!$F192="","",Sheet1!$F192+335),"")</f>
        <v>46319</v>
      </c>
      <c r="I192" s="1">
        <v>45918</v>
      </c>
      <c r="J192" s="1">
        <f>IFERROR(IF(Sheet1!$I192="","",Sheet1!$I192+365),"")</f>
        <v>46283</v>
      </c>
      <c r="K192" s="2">
        <f>IFERROR(IF(Sheet1!$I192="","",Sheet1!$I192+305),"")</f>
        <v>46223</v>
      </c>
    </row>
    <row r="193" spans="1:11" x14ac:dyDescent="0.35">
      <c r="A193" s="9">
        <v>192</v>
      </c>
      <c r="B193" s="10" t="s">
        <v>601</v>
      </c>
      <c r="C193" s="10" t="s">
        <v>602</v>
      </c>
      <c r="D193" s="11" t="s">
        <v>603</v>
      </c>
      <c r="E193" s="10" t="s">
        <v>37</v>
      </c>
      <c r="F193" s="1">
        <v>45979</v>
      </c>
      <c r="G193" s="1">
        <f>IFERROR(IF(Sheet1!$F193="","",Sheet1!$F193+365),"")</f>
        <v>46344</v>
      </c>
      <c r="H193" s="1">
        <f>IFERROR(IF(Sheet1!$F193="","",Sheet1!$F193+335),"")</f>
        <v>46314</v>
      </c>
      <c r="I193" s="1">
        <v>45941</v>
      </c>
      <c r="J193" s="1">
        <f>IFERROR(IF(Sheet1!$I193="","",Sheet1!$I193+365),"")</f>
        <v>46306</v>
      </c>
      <c r="K193" s="2">
        <f>IFERROR(IF(Sheet1!$I193="","",Sheet1!$I193+305),"")</f>
        <v>46246</v>
      </c>
    </row>
    <row r="194" spans="1:11" x14ac:dyDescent="0.35">
      <c r="A194" s="9">
        <v>193</v>
      </c>
      <c r="B194" s="10" t="s">
        <v>604</v>
      </c>
      <c r="C194" s="10" t="s">
        <v>605</v>
      </c>
      <c r="D194" s="10" t="s">
        <v>606</v>
      </c>
      <c r="E194" s="10" t="s">
        <v>33</v>
      </c>
      <c r="F194" s="1">
        <v>46045</v>
      </c>
      <c r="G194" s="1">
        <f>IFERROR(IF(Sheet1!$F194="","",Sheet1!$F194+365),"")</f>
        <v>46410</v>
      </c>
      <c r="H194" s="1">
        <f>IFERROR(IF(Sheet1!$F194="","",Sheet1!$F194+335),"")</f>
        <v>46380</v>
      </c>
      <c r="I194" s="1">
        <v>46042</v>
      </c>
      <c r="J194" s="1">
        <f>IFERROR(IF(Sheet1!$I194="","",Sheet1!$I194+365),"")</f>
        <v>46407</v>
      </c>
      <c r="K194" s="2">
        <f>IFERROR(IF(Sheet1!$I194="","",Sheet1!$I194+305),"")</f>
        <v>46347</v>
      </c>
    </row>
    <row r="195" spans="1:11" x14ac:dyDescent="0.35">
      <c r="A195" s="9">
        <v>194</v>
      </c>
      <c r="B195" s="10" t="s">
        <v>607</v>
      </c>
      <c r="C195" s="10" t="s">
        <v>608</v>
      </c>
      <c r="D195" s="11" t="s">
        <v>609</v>
      </c>
      <c r="E195" s="10" t="s">
        <v>26</v>
      </c>
      <c r="F195" s="1">
        <v>45981</v>
      </c>
      <c r="G195" s="1">
        <f>IFERROR(IF(Sheet1!$F195="","",Sheet1!$F195+365),"")</f>
        <v>46346</v>
      </c>
      <c r="H195" s="1">
        <f>IFERROR(IF(Sheet1!$F195="","",Sheet1!$F195+335),"")</f>
        <v>46316</v>
      </c>
      <c r="I195" s="1">
        <v>45918</v>
      </c>
      <c r="J195" s="1">
        <f>IFERROR(IF(Sheet1!$I195="","",Sheet1!$I195+365),"")</f>
        <v>46283</v>
      </c>
      <c r="K195" s="2">
        <f>IFERROR(IF(Sheet1!$I195="","",Sheet1!$I195+305),"")</f>
        <v>46223</v>
      </c>
    </row>
    <row r="196" spans="1:11" x14ac:dyDescent="0.35">
      <c r="A196" s="9">
        <v>195</v>
      </c>
      <c r="B196" s="10" t="s">
        <v>610</v>
      </c>
      <c r="C196" s="10" t="s">
        <v>611</v>
      </c>
      <c r="D196" s="11" t="s">
        <v>612</v>
      </c>
      <c r="E196" s="10" t="s">
        <v>18</v>
      </c>
      <c r="F196" s="1">
        <v>46034</v>
      </c>
      <c r="G196" s="1">
        <f>IFERROR(IF(Sheet1!$F196="","",Sheet1!$F196+365),"")</f>
        <v>46399</v>
      </c>
      <c r="H196" s="1">
        <f>IFERROR(IF(Sheet1!$F196="","",Sheet1!$F196+335),"")</f>
        <v>46369</v>
      </c>
      <c r="I196" s="1">
        <v>45974</v>
      </c>
      <c r="J196" s="1">
        <f>IFERROR(IF(Sheet1!$I196="","",Sheet1!$I196+365),"")</f>
        <v>46339</v>
      </c>
      <c r="K196" s="2">
        <f>IFERROR(IF(Sheet1!$I196="","",Sheet1!$I196+305),"")</f>
        <v>46279</v>
      </c>
    </row>
    <row r="197" spans="1:11" x14ac:dyDescent="0.35">
      <c r="A197" s="9">
        <v>196</v>
      </c>
      <c r="B197" s="10" t="s">
        <v>613</v>
      </c>
      <c r="C197" s="10" t="s">
        <v>614</v>
      </c>
      <c r="D197" s="11" t="s">
        <v>615</v>
      </c>
      <c r="E197" s="10" t="s">
        <v>14</v>
      </c>
      <c r="F197" s="1">
        <v>45979</v>
      </c>
      <c r="G197" s="1">
        <f>IFERROR(IF(Sheet1!$F197="","",Sheet1!$F197+365),"")</f>
        <v>46344</v>
      </c>
      <c r="H197" s="1">
        <f>IFERROR(IF(Sheet1!$F197="","",Sheet1!$F197+335),"")</f>
        <v>46314</v>
      </c>
      <c r="I197" s="1">
        <v>45919</v>
      </c>
      <c r="J197" s="1">
        <f>IFERROR(IF(Sheet1!$I197="","",Sheet1!$I197+365),"")</f>
        <v>46284</v>
      </c>
      <c r="K197" s="2">
        <f>IFERROR(IF(Sheet1!$I197="","",Sheet1!$I197+305),"")</f>
        <v>46224</v>
      </c>
    </row>
    <row r="198" spans="1:11" x14ac:dyDescent="0.35">
      <c r="A198" s="9">
        <v>197</v>
      </c>
      <c r="B198" s="10" t="s">
        <v>616</v>
      </c>
      <c r="C198" s="10" t="s">
        <v>617</v>
      </c>
      <c r="D198" s="11" t="s">
        <v>618</v>
      </c>
      <c r="E198" s="10" t="s">
        <v>63</v>
      </c>
      <c r="F198" s="1">
        <v>45982</v>
      </c>
      <c r="G198" s="1">
        <f>IFERROR(IF(Sheet1!$F198="","",Sheet1!$F198+365),"")</f>
        <v>46347</v>
      </c>
      <c r="H198" s="1">
        <f>IFERROR(IF(Sheet1!$F198="","",Sheet1!$F198+335),"")</f>
        <v>46317</v>
      </c>
      <c r="I198" s="1">
        <v>45968</v>
      </c>
      <c r="J198" s="1">
        <f>IFERROR(IF(Sheet1!$I198="","",Sheet1!$I198+365),"")</f>
        <v>46333</v>
      </c>
      <c r="K198" s="2">
        <f>IFERROR(IF(Sheet1!$I198="","",Sheet1!$I198+305),"")</f>
        <v>46273</v>
      </c>
    </row>
    <row r="199" spans="1:11" x14ac:dyDescent="0.35">
      <c r="A199" s="9">
        <v>198</v>
      </c>
      <c r="B199" s="10" t="s">
        <v>619</v>
      </c>
      <c r="C199" s="10" t="s">
        <v>620</v>
      </c>
      <c r="D199" s="11" t="s">
        <v>621</v>
      </c>
      <c r="E199" s="10" t="s">
        <v>14</v>
      </c>
      <c r="F199" s="1">
        <v>45980</v>
      </c>
      <c r="G199" s="1">
        <f>IFERROR(IF(Sheet1!$F199="","",Sheet1!$F199+365),"")</f>
        <v>46345</v>
      </c>
      <c r="H199" s="1">
        <f>IFERROR(IF(Sheet1!$F199="","",Sheet1!$F199+335),"")</f>
        <v>46315</v>
      </c>
      <c r="I199" s="1">
        <v>45910</v>
      </c>
      <c r="J199" s="1">
        <f>IFERROR(IF(Sheet1!$I199="","",Sheet1!$I199+365),"")</f>
        <v>46275</v>
      </c>
      <c r="K199" s="2">
        <f>IFERROR(IF(Sheet1!$I199="","",Sheet1!$I199+305),"")</f>
        <v>46215</v>
      </c>
    </row>
    <row r="200" spans="1:11" x14ac:dyDescent="0.35">
      <c r="A200" s="9">
        <v>199</v>
      </c>
      <c r="B200" s="10" t="s">
        <v>622</v>
      </c>
      <c r="C200" s="10" t="s">
        <v>623</v>
      </c>
      <c r="D200" s="10" t="s">
        <v>624</v>
      </c>
      <c r="E200" s="10" t="s">
        <v>33</v>
      </c>
      <c r="F200" s="1">
        <v>46001</v>
      </c>
      <c r="G200" s="1">
        <f>IFERROR(IF(Sheet1!$F200="","",Sheet1!$F200+365),"")</f>
        <v>46366</v>
      </c>
      <c r="H200" s="1">
        <f>IFERROR(IF(Sheet1!$F200="","",Sheet1!$F200+335),"")</f>
        <v>46336</v>
      </c>
      <c r="I200" s="1">
        <v>45979</v>
      </c>
      <c r="J200" s="1">
        <f>IFERROR(IF(Sheet1!$I200="","",Sheet1!$I200+365),"")</f>
        <v>46344</v>
      </c>
      <c r="K200" s="2">
        <f>IFERROR(IF(Sheet1!$I200="","",Sheet1!$I200+305),"")</f>
        <v>46284</v>
      </c>
    </row>
    <row r="201" spans="1:11" x14ac:dyDescent="0.35">
      <c r="A201" s="9">
        <v>200</v>
      </c>
      <c r="B201" s="10" t="s">
        <v>625</v>
      </c>
      <c r="C201" s="10" t="s">
        <v>626</v>
      </c>
      <c r="D201" s="11" t="s">
        <v>627</v>
      </c>
      <c r="E201" s="10" t="s">
        <v>14</v>
      </c>
      <c r="F201" s="1">
        <v>45863</v>
      </c>
      <c r="G201" s="1">
        <f>IFERROR(IF(Sheet1!$F201="","",Sheet1!$F201+365),"")</f>
        <v>46228</v>
      </c>
      <c r="H201" s="1">
        <f>IFERROR(IF(Sheet1!$F201="","",Sheet1!$F201+335),"")</f>
        <v>46198</v>
      </c>
      <c r="I201" s="1">
        <v>45862</v>
      </c>
      <c r="J201" s="1">
        <f>IFERROR(IF(Sheet1!$I201="","",Sheet1!$I201+365),"")</f>
        <v>46227</v>
      </c>
      <c r="K201" s="2">
        <f>IFERROR(IF(Sheet1!$I201="","",Sheet1!$I201+305),"")</f>
        <v>46167</v>
      </c>
    </row>
    <row r="202" spans="1:11" x14ac:dyDescent="0.35">
      <c r="A202" s="9">
        <v>201</v>
      </c>
      <c r="B202" s="10" t="s">
        <v>628</v>
      </c>
      <c r="C202" s="10" t="s">
        <v>629</v>
      </c>
      <c r="D202" s="11" t="s">
        <v>630</v>
      </c>
      <c r="E202" s="10" t="s">
        <v>63</v>
      </c>
      <c r="F202" s="1">
        <v>45982</v>
      </c>
      <c r="G202" s="1">
        <f>IFERROR(IF(Sheet1!$F202="","",Sheet1!$F202+365),"")</f>
        <v>46347</v>
      </c>
      <c r="H202" s="1">
        <f>IFERROR(IF(Sheet1!$F202="","",Sheet1!$F202+335),"")</f>
        <v>46317</v>
      </c>
      <c r="I202" s="1">
        <v>45974</v>
      </c>
      <c r="J202" s="1">
        <f>IFERROR(IF(Sheet1!$I202="","",Sheet1!$I202+365),"")</f>
        <v>46339</v>
      </c>
      <c r="K202" s="2">
        <f>IFERROR(IF(Sheet1!$I202="","",Sheet1!$I202+305),"")</f>
        <v>46279</v>
      </c>
    </row>
    <row r="203" spans="1:11" x14ac:dyDescent="0.35">
      <c r="A203" s="9">
        <v>202</v>
      </c>
      <c r="B203" s="10" t="s">
        <v>631</v>
      </c>
      <c r="C203" s="10" t="s">
        <v>632</v>
      </c>
      <c r="D203" s="10" t="s">
        <v>633</v>
      </c>
      <c r="E203" s="10" t="s">
        <v>399</v>
      </c>
      <c r="F203" s="1">
        <v>46000</v>
      </c>
      <c r="G203" s="1">
        <f>IFERROR(IF(Sheet1!$F203="","",Sheet1!$F203+365),"")</f>
        <v>46365</v>
      </c>
      <c r="H203" s="1">
        <f>IFERROR(IF(Sheet1!$F203="","",Sheet1!$F203+335),"")</f>
        <v>46335</v>
      </c>
      <c r="I203" s="1">
        <v>45945</v>
      </c>
      <c r="J203" s="1">
        <f>IFERROR(IF(Sheet1!$I203="","",Sheet1!$I203+365),"")</f>
        <v>46310</v>
      </c>
      <c r="K203" s="2">
        <f>IFERROR(IF(Sheet1!$I203="","",Sheet1!$I203+305),"")</f>
        <v>46250</v>
      </c>
    </row>
    <row r="204" spans="1:11" x14ac:dyDescent="0.35">
      <c r="A204" s="9">
        <v>203</v>
      </c>
      <c r="B204" s="10" t="s">
        <v>634</v>
      </c>
      <c r="C204" s="10" t="s">
        <v>635</v>
      </c>
      <c r="D204" s="11" t="s">
        <v>636</v>
      </c>
      <c r="E204" s="10" t="s">
        <v>18</v>
      </c>
      <c r="F204" s="1">
        <v>45923</v>
      </c>
      <c r="G204" s="1">
        <f>IFERROR(IF(Sheet1!$F204="","",Sheet1!$F204+365),"")</f>
        <v>46288</v>
      </c>
      <c r="H204" s="1">
        <f>IFERROR(IF(Sheet1!$F204="","",Sheet1!$F204+335),"")</f>
        <v>46258</v>
      </c>
      <c r="I204" s="1">
        <v>45923</v>
      </c>
      <c r="J204" s="1">
        <f>IFERROR(IF(Sheet1!$I204="","",Sheet1!$I204+365),"")</f>
        <v>46288</v>
      </c>
      <c r="K204" s="2">
        <f>IFERROR(IF(Sheet1!$I204="","",Sheet1!$I204+305),"")</f>
        <v>46228</v>
      </c>
    </row>
    <row r="205" spans="1:11" x14ac:dyDescent="0.35">
      <c r="A205" s="9">
        <v>204</v>
      </c>
      <c r="B205" s="10" t="s">
        <v>637</v>
      </c>
      <c r="C205" s="10" t="s">
        <v>638</v>
      </c>
      <c r="D205" s="11" t="s">
        <v>639</v>
      </c>
      <c r="E205" s="10" t="s">
        <v>88</v>
      </c>
      <c r="F205" s="1">
        <v>45983</v>
      </c>
      <c r="G205" s="1">
        <f>IFERROR(IF(Sheet1!$F205="","",Sheet1!$F205+365),"")</f>
        <v>46348</v>
      </c>
      <c r="H205" s="1">
        <f>IFERROR(IF(Sheet1!$F205="","",Sheet1!$F205+335),"")</f>
        <v>46318</v>
      </c>
      <c r="I205" s="1">
        <v>45990</v>
      </c>
      <c r="J205" s="1">
        <f>IFERROR(IF(Sheet1!$I205="","",Sheet1!$I205+365),"")</f>
        <v>46355</v>
      </c>
      <c r="K205" s="2">
        <f>IFERROR(IF(Sheet1!$I205="","",Sheet1!$I205+305),"")</f>
        <v>46295</v>
      </c>
    </row>
    <row r="206" spans="1:11" x14ac:dyDescent="0.35">
      <c r="A206" s="9">
        <v>205</v>
      </c>
      <c r="B206" s="10" t="s">
        <v>640</v>
      </c>
      <c r="C206" s="10" t="s">
        <v>641</v>
      </c>
      <c r="D206" s="11" t="s">
        <v>642</v>
      </c>
      <c r="E206" s="10" t="s">
        <v>63</v>
      </c>
      <c r="F206" s="1">
        <v>45999</v>
      </c>
      <c r="G206" s="1">
        <f>IFERROR(IF(Sheet1!$F206="","",Sheet1!$F206+365),"")</f>
        <v>46364</v>
      </c>
      <c r="H206" s="1">
        <f>IFERROR(IF(Sheet1!$F206="","",Sheet1!$F206+335),"")</f>
        <v>46334</v>
      </c>
      <c r="I206" s="1">
        <v>45968</v>
      </c>
      <c r="J206" s="1">
        <f>IFERROR(IF(Sheet1!$I206="","",Sheet1!$I206+365),"")</f>
        <v>46333</v>
      </c>
      <c r="K206" s="2">
        <f>IFERROR(IF(Sheet1!$I206="","",Sheet1!$I206+305),"")</f>
        <v>46273</v>
      </c>
    </row>
    <row r="207" spans="1:11" x14ac:dyDescent="0.35">
      <c r="A207" s="9">
        <v>206</v>
      </c>
      <c r="B207" s="10" t="s">
        <v>643</v>
      </c>
      <c r="C207" s="12" t="s">
        <v>644</v>
      </c>
      <c r="D207" s="11" t="s">
        <v>645</v>
      </c>
      <c r="E207" s="10" t="s">
        <v>56</v>
      </c>
      <c r="F207" s="1">
        <v>45981</v>
      </c>
      <c r="G207" s="1">
        <f>IFERROR(IF(Sheet1!$F207="","",Sheet1!$F207+365),"")</f>
        <v>46346</v>
      </c>
      <c r="H207" s="1">
        <f>IFERROR(IF(Sheet1!$F207="","",Sheet1!$F207+335),"")</f>
        <v>46316</v>
      </c>
      <c r="I207" s="1">
        <v>45937</v>
      </c>
      <c r="J207" s="1">
        <f>IFERROR(IF(Sheet1!$I207="","",Sheet1!$I207+365),"")</f>
        <v>46302</v>
      </c>
      <c r="K207" s="2">
        <f>IFERROR(IF(Sheet1!$I207="","",Sheet1!$I207+305),"")</f>
        <v>46242</v>
      </c>
    </row>
    <row r="208" spans="1:11" x14ac:dyDescent="0.35">
      <c r="A208" s="9">
        <v>207</v>
      </c>
      <c r="B208" s="10" t="s">
        <v>646</v>
      </c>
      <c r="C208" s="10" t="s">
        <v>647</v>
      </c>
      <c r="D208" s="11" t="s">
        <v>648</v>
      </c>
      <c r="E208" s="10" t="s">
        <v>37</v>
      </c>
      <c r="F208" s="1">
        <v>45881</v>
      </c>
      <c r="G208" s="1">
        <f>IFERROR(IF(Sheet1!$F208="","",Sheet1!$F208+365),"")</f>
        <v>46246</v>
      </c>
      <c r="H208" s="1">
        <f>IFERROR(IF(Sheet1!$F208="","",Sheet1!$F208+335),"")</f>
        <v>46216</v>
      </c>
      <c r="I208" s="1">
        <v>45875</v>
      </c>
      <c r="J208" s="1">
        <f>IFERROR(IF(Sheet1!$I208="","",Sheet1!$I208+365),"")</f>
        <v>46240</v>
      </c>
      <c r="K208" s="2">
        <f>IFERROR(IF(Sheet1!$I208="","",Sheet1!$I208+305),"")</f>
        <v>46180</v>
      </c>
    </row>
    <row r="209" spans="1:11" x14ac:dyDescent="0.35">
      <c r="A209" s="9">
        <v>208</v>
      </c>
      <c r="B209" s="10" t="s">
        <v>649</v>
      </c>
      <c r="C209" s="10" t="s">
        <v>650</v>
      </c>
      <c r="D209" s="11" t="s">
        <v>651</v>
      </c>
      <c r="E209" s="10" t="s">
        <v>37</v>
      </c>
      <c r="F209" s="1">
        <v>45983</v>
      </c>
      <c r="G209" s="1">
        <f>IFERROR(IF(Sheet1!$F209="","",Sheet1!$F209+365),"")</f>
        <v>46348</v>
      </c>
      <c r="H209" s="1">
        <f>IFERROR(IF(Sheet1!$F209="","",Sheet1!$F209+335),"")</f>
        <v>46318</v>
      </c>
      <c r="I209" s="1">
        <v>45969</v>
      </c>
      <c r="J209" s="1">
        <f>IFERROR(IF(Sheet1!$I209="","",Sheet1!$I209+365),"")</f>
        <v>46334</v>
      </c>
      <c r="K209" s="2">
        <f>IFERROR(IF(Sheet1!$I209="","",Sheet1!$I209+305),"")</f>
        <v>46274</v>
      </c>
    </row>
    <row r="210" spans="1:11" x14ac:dyDescent="0.35">
      <c r="A210" s="9">
        <v>209</v>
      </c>
      <c r="B210" s="12" t="s">
        <v>652</v>
      </c>
      <c r="C210" s="12" t="s">
        <v>653</v>
      </c>
      <c r="D210" s="13" t="s">
        <v>654</v>
      </c>
      <c r="E210" s="12" t="s">
        <v>22</v>
      </c>
      <c r="F210" s="14">
        <v>45979</v>
      </c>
      <c r="G210" s="1">
        <f>IFERROR(IF(Sheet1!$F210="","",Sheet1!$F210+365),"")</f>
        <v>46344</v>
      </c>
      <c r="H210" s="1">
        <f>IFERROR(IF(Sheet1!$F210="","",Sheet1!$F210+335),"")</f>
        <v>46314</v>
      </c>
      <c r="I210" s="14">
        <v>45972</v>
      </c>
      <c r="J210" s="1">
        <f>IFERROR(IF(Sheet1!$I210="","",Sheet1!$I210+365),"")</f>
        <v>46337</v>
      </c>
      <c r="K210" s="2">
        <f>IFERROR(IF(Sheet1!$I210="","",Sheet1!$I210+305),"")</f>
        <v>46277</v>
      </c>
    </row>
    <row r="211" spans="1:11" x14ac:dyDescent="0.35">
      <c r="A211" s="9">
        <v>210</v>
      </c>
      <c r="B211" s="12" t="s">
        <v>655</v>
      </c>
      <c r="C211" s="12" t="s">
        <v>656</v>
      </c>
      <c r="D211" s="12" t="s">
        <v>657</v>
      </c>
      <c r="E211" s="12" t="s">
        <v>22</v>
      </c>
      <c r="F211" s="14">
        <v>45992</v>
      </c>
      <c r="G211" s="1">
        <f>IFERROR(IF(Sheet1!$F211="","",Sheet1!$F211+365),"")</f>
        <v>46357</v>
      </c>
      <c r="H211" s="1">
        <f>IFERROR(IF(Sheet1!$F211="","",Sheet1!$F211+335),"")</f>
        <v>46327</v>
      </c>
      <c r="I211" s="14">
        <v>45992</v>
      </c>
      <c r="J211" s="1">
        <f>IFERROR(IF(Sheet1!$I211="","",Sheet1!$I211+365),"")</f>
        <v>46357</v>
      </c>
      <c r="K211" s="2">
        <f>IFERROR(IF(Sheet1!$I211="","",Sheet1!$I211+305),"")</f>
        <v>46297</v>
      </c>
    </row>
    <row r="212" spans="1:11" x14ac:dyDescent="0.35">
      <c r="A212" s="9">
        <v>211</v>
      </c>
      <c r="B212" s="10" t="s">
        <v>658</v>
      </c>
      <c r="C212" s="10" t="s">
        <v>659</v>
      </c>
      <c r="D212" s="11" t="s">
        <v>660</v>
      </c>
      <c r="E212" s="10" t="s">
        <v>37</v>
      </c>
      <c r="F212" s="1">
        <v>46005</v>
      </c>
      <c r="G212" s="1">
        <f>IFERROR(IF(Sheet1!$F212="","",Sheet1!$F212+365),"")</f>
        <v>46370</v>
      </c>
      <c r="H212" s="1">
        <f>IFERROR(IF(Sheet1!$F212="","",Sheet1!$F212+335),"")</f>
        <v>46340</v>
      </c>
      <c r="I212" s="1">
        <v>45913</v>
      </c>
      <c r="J212" s="1">
        <f>IFERROR(IF(Sheet1!$I212="","",Sheet1!$I212+365),"")</f>
        <v>46278</v>
      </c>
      <c r="K212" s="2">
        <f>IFERROR(IF(Sheet1!$I212="","",Sheet1!$I212+305),"")</f>
        <v>46218</v>
      </c>
    </row>
    <row r="213" spans="1:11" x14ac:dyDescent="0.35">
      <c r="A213" s="9">
        <v>212</v>
      </c>
      <c r="B213" s="12" t="s">
        <v>661</v>
      </c>
      <c r="C213" s="12" t="s">
        <v>662</v>
      </c>
      <c r="D213" s="13" t="s">
        <v>663</v>
      </c>
      <c r="E213" s="12" t="s">
        <v>22</v>
      </c>
      <c r="F213" s="14">
        <v>45990</v>
      </c>
      <c r="G213" s="1">
        <f>IFERROR(IF(Sheet1!$F213="","",Sheet1!$F213+365),"")</f>
        <v>46355</v>
      </c>
      <c r="H213" s="1">
        <f>IFERROR(IF(Sheet1!$F213="","",Sheet1!$F213+335),"")</f>
        <v>46325</v>
      </c>
      <c r="I213" s="14">
        <v>45674</v>
      </c>
      <c r="J213" s="1">
        <f>IFERROR(IF(Sheet1!$I213="","",Sheet1!$I213+365),"")</f>
        <v>46039</v>
      </c>
      <c r="K213" s="2">
        <f>IFERROR(IF(Sheet1!$I213="","",Sheet1!$I213+305),"")</f>
        <v>45979</v>
      </c>
    </row>
    <row r="214" spans="1:11" x14ac:dyDescent="0.35">
      <c r="A214" s="9">
        <v>213</v>
      </c>
      <c r="B214" s="10" t="s">
        <v>664</v>
      </c>
      <c r="C214" s="10" t="s">
        <v>665</v>
      </c>
      <c r="D214" s="11" t="s">
        <v>666</v>
      </c>
      <c r="E214" s="10" t="s">
        <v>63</v>
      </c>
      <c r="F214" s="1">
        <v>45995</v>
      </c>
      <c r="G214" s="1">
        <f>IFERROR(IF(Sheet1!$F214="","",Sheet1!$F214+365),"")</f>
        <v>46360</v>
      </c>
      <c r="H214" s="1">
        <f>IFERROR(IF(Sheet1!$F214="","",Sheet1!$F214+335),"")</f>
        <v>46330</v>
      </c>
      <c r="I214" s="1">
        <v>45973</v>
      </c>
      <c r="J214" s="1">
        <f>IFERROR(IF(Sheet1!$I214="","",Sheet1!$I214+365),"")</f>
        <v>46338</v>
      </c>
      <c r="K214" s="2">
        <f>IFERROR(IF(Sheet1!$I214="","",Sheet1!$I214+305),"")</f>
        <v>46278</v>
      </c>
    </row>
    <row r="215" spans="1:11" x14ac:dyDescent="0.35">
      <c r="A215" s="9">
        <v>214</v>
      </c>
      <c r="B215" s="10" t="s">
        <v>667</v>
      </c>
      <c r="C215" s="10" t="s">
        <v>668</v>
      </c>
      <c r="D215" s="11" t="s">
        <v>669</v>
      </c>
      <c r="E215" s="10" t="s">
        <v>37</v>
      </c>
      <c r="F215" s="1">
        <v>46003</v>
      </c>
      <c r="G215" s="1">
        <f>IFERROR(IF(Sheet1!$F215="","",Sheet1!$F215+365),"")</f>
        <v>46368</v>
      </c>
      <c r="H215" s="1">
        <f>IFERROR(IF(Sheet1!$F215="","",Sheet1!$F215+335),"")</f>
        <v>46338</v>
      </c>
      <c r="I215" s="1">
        <v>45948</v>
      </c>
      <c r="J215" s="1">
        <f>IFERROR(IF(Sheet1!$I215="","",Sheet1!$I215+365),"")</f>
        <v>46313</v>
      </c>
      <c r="K215" s="2">
        <f>IFERROR(IF(Sheet1!$I215="","",Sheet1!$I215+305),"")</f>
        <v>46253</v>
      </c>
    </row>
    <row r="216" spans="1:11" x14ac:dyDescent="0.35">
      <c r="A216" s="9">
        <v>215</v>
      </c>
      <c r="B216" s="10" t="s">
        <v>670</v>
      </c>
      <c r="C216" s="10" t="s">
        <v>671</v>
      </c>
      <c r="D216" s="11" t="s">
        <v>672</v>
      </c>
      <c r="E216" s="10" t="s">
        <v>37</v>
      </c>
      <c r="F216" s="1">
        <v>45982</v>
      </c>
      <c r="G216" s="1">
        <f>IFERROR(IF(Sheet1!$F216="","",Sheet1!$F216+365),"")</f>
        <v>46347</v>
      </c>
      <c r="H216" s="1">
        <f>IFERROR(IF(Sheet1!$F216="","",Sheet1!$F216+335),"")</f>
        <v>46317</v>
      </c>
      <c r="I216" s="1">
        <v>45982</v>
      </c>
      <c r="J216" s="1">
        <f>IFERROR(IF(Sheet1!$I216="","",Sheet1!$I216+365),"")</f>
        <v>46347</v>
      </c>
      <c r="K216" s="2">
        <f>IFERROR(IF(Sheet1!$I216="","",Sheet1!$I216+305),"")</f>
        <v>46287</v>
      </c>
    </row>
    <row r="217" spans="1:11" x14ac:dyDescent="0.35">
      <c r="A217" s="9">
        <v>216</v>
      </c>
      <c r="B217" s="10" t="s">
        <v>673</v>
      </c>
      <c r="C217" s="10" t="s">
        <v>674</v>
      </c>
      <c r="D217" s="11" t="s">
        <v>675</v>
      </c>
      <c r="E217" s="10" t="s">
        <v>88</v>
      </c>
      <c r="F217" s="1">
        <v>45727</v>
      </c>
      <c r="G217" s="1">
        <f>IFERROR(IF(Sheet1!$F217="","",Sheet1!$F217+365),"")</f>
        <v>46092</v>
      </c>
      <c r="H217" s="1">
        <f>IFERROR(IF(Sheet1!$F217="","",Sheet1!$F217+335),"")</f>
        <v>46062</v>
      </c>
      <c r="I217" s="1">
        <v>46038</v>
      </c>
      <c r="J217" s="1">
        <f>IFERROR(IF(Sheet1!$I217="","",Sheet1!$I217+365),"")</f>
        <v>46403</v>
      </c>
      <c r="K217" s="2">
        <f>IFERROR(IF(Sheet1!$I217="","",Sheet1!$I217+305),"")</f>
        <v>46343</v>
      </c>
    </row>
    <row r="218" spans="1:11" x14ac:dyDescent="0.35">
      <c r="A218" s="9">
        <v>217</v>
      </c>
      <c r="B218" s="10" t="s">
        <v>676</v>
      </c>
      <c r="C218" s="10" t="s">
        <v>677</v>
      </c>
      <c r="D218" s="11" t="s">
        <v>678</v>
      </c>
      <c r="E218" s="10" t="s">
        <v>37</v>
      </c>
      <c r="F218" s="1">
        <v>45979</v>
      </c>
      <c r="G218" s="1">
        <f>IFERROR(IF(Sheet1!$F218="","",Sheet1!$F218+365),"")</f>
        <v>46344</v>
      </c>
      <c r="H218" s="1">
        <f>IFERROR(IF(Sheet1!$F218="","",Sheet1!$F218+335),"")</f>
        <v>46314</v>
      </c>
      <c r="I218" s="1">
        <v>45965</v>
      </c>
      <c r="J218" s="1">
        <f>IFERROR(IF(Sheet1!$I218="","",Sheet1!$I218+365),"")</f>
        <v>46330</v>
      </c>
      <c r="K218" s="2">
        <f>IFERROR(IF(Sheet1!$I218="","",Sheet1!$I218+305),"")</f>
        <v>46270</v>
      </c>
    </row>
    <row r="219" spans="1:11" x14ac:dyDescent="0.35">
      <c r="A219" s="9">
        <v>218</v>
      </c>
      <c r="B219" s="10" t="s">
        <v>679</v>
      </c>
      <c r="C219" s="10" t="s">
        <v>680</v>
      </c>
      <c r="D219" s="11" t="s">
        <v>681</v>
      </c>
      <c r="E219" s="10" t="s">
        <v>63</v>
      </c>
      <c r="F219" s="1">
        <v>46006</v>
      </c>
      <c r="G219" s="1">
        <f>IFERROR(IF(Sheet1!$F219="","",Sheet1!$F219+365),"")</f>
        <v>46371</v>
      </c>
      <c r="H219" s="1">
        <f>IFERROR(IF(Sheet1!$F219="","",Sheet1!$F219+335),"")</f>
        <v>46341</v>
      </c>
      <c r="I219" s="1">
        <v>45973</v>
      </c>
      <c r="J219" s="1">
        <f>IFERROR(IF(Sheet1!$I219="","",Sheet1!$I219+365),"")</f>
        <v>46338</v>
      </c>
      <c r="K219" s="2">
        <f>IFERROR(IF(Sheet1!$I219="","",Sheet1!$I219+305),"")</f>
        <v>46278</v>
      </c>
    </row>
    <row r="220" spans="1:11" x14ac:dyDescent="0.35">
      <c r="A220" s="9">
        <v>219</v>
      </c>
      <c r="B220" s="10" t="s">
        <v>682</v>
      </c>
      <c r="C220" s="10" t="s">
        <v>683</v>
      </c>
      <c r="D220" s="11" t="s">
        <v>684</v>
      </c>
      <c r="E220" s="10" t="s">
        <v>14</v>
      </c>
      <c r="F220" s="1">
        <v>45989</v>
      </c>
      <c r="G220" s="1">
        <f>IFERROR(IF(Sheet1!$F220="","",Sheet1!$F220+365),"")</f>
        <v>46354</v>
      </c>
      <c r="H220" s="1">
        <f>IFERROR(IF(Sheet1!$F220="","",Sheet1!$F220+335),"")</f>
        <v>46324</v>
      </c>
      <c r="I220" s="1">
        <v>45930</v>
      </c>
      <c r="J220" s="1">
        <f>IFERROR(IF(Sheet1!$I220="","",Sheet1!$I220+365),"")</f>
        <v>46295</v>
      </c>
      <c r="K220" s="2">
        <f>IFERROR(IF(Sheet1!$I220="","",Sheet1!$I220+305),"")</f>
        <v>46235</v>
      </c>
    </row>
    <row r="221" spans="1:11" x14ac:dyDescent="0.35">
      <c r="A221" s="9">
        <v>220</v>
      </c>
      <c r="B221" s="10" t="s">
        <v>685</v>
      </c>
      <c r="C221" s="10" t="s">
        <v>686</v>
      </c>
      <c r="D221" s="11" t="s">
        <v>687</v>
      </c>
      <c r="E221" s="10" t="s">
        <v>18</v>
      </c>
      <c r="F221" s="1">
        <v>45978</v>
      </c>
      <c r="G221" s="1">
        <f>IFERROR(IF(Sheet1!$F221="","",Sheet1!$F221+365),"")</f>
        <v>46343</v>
      </c>
      <c r="H221" s="1">
        <f>IFERROR(IF(Sheet1!$F221="","",Sheet1!$F221+335),"")</f>
        <v>46313</v>
      </c>
      <c r="I221" s="1">
        <v>45953</v>
      </c>
      <c r="J221" s="1">
        <f>IFERROR(IF(Sheet1!$I221="","",Sheet1!$I221+365),"")</f>
        <v>46318</v>
      </c>
      <c r="K221" s="2">
        <f>IFERROR(IF(Sheet1!$I221="","",Sheet1!$I221+305),"")</f>
        <v>46258</v>
      </c>
    </row>
    <row r="222" spans="1:11" x14ac:dyDescent="0.35">
      <c r="A222" s="9">
        <v>221</v>
      </c>
      <c r="B222" s="10" t="s">
        <v>688</v>
      </c>
      <c r="C222" s="10" t="s">
        <v>689</v>
      </c>
      <c r="D222" s="11" t="s">
        <v>690</v>
      </c>
      <c r="E222" s="10" t="s">
        <v>14</v>
      </c>
      <c r="F222" s="1">
        <v>46005</v>
      </c>
      <c r="G222" s="1">
        <f>IFERROR(IF(Sheet1!$F222="","",Sheet1!$F222+365),"")</f>
        <v>46370</v>
      </c>
      <c r="H222" s="1">
        <f>IFERROR(IF(Sheet1!$F222="","",Sheet1!$F222+335),"")</f>
        <v>46340</v>
      </c>
      <c r="I222" s="1">
        <v>45926</v>
      </c>
      <c r="J222" s="1">
        <f>IFERROR(IF(Sheet1!$I222="","",Sheet1!$I222+365),"")</f>
        <v>46291</v>
      </c>
      <c r="K222" s="2">
        <f>IFERROR(IF(Sheet1!$I222="","",Sheet1!$I222+305),"")</f>
        <v>46231</v>
      </c>
    </row>
    <row r="223" spans="1:11" x14ac:dyDescent="0.35">
      <c r="A223" s="9">
        <v>222</v>
      </c>
      <c r="B223" s="10" t="s">
        <v>691</v>
      </c>
      <c r="C223" s="10" t="s">
        <v>692</v>
      </c>
      <c r="D223" s="11" t="s">
        <v>693</v>
      </c>
      <c r="E223" s="10" t="s">
        <v>37</v>
      </c>
      <c r="F223" s="1">
        <v>45930</v>
      </c>
      <c r="G223" s="1">
        <f>IFERROR(IF(Sheet1!$F223="","",Sheet1!$F223+365),"")</f>
        <v>46295</v>
      </c>
      <c r="H223" s="1">
        <f>IFERROR(IF(Sheet1!$F223="","",Sheet1!$F223+335),"")</f>
        <v>46265</v>
      </c>
      <c r="I223" s="1">
        <v>45930</v>
      </c>
      <c r="J223" s="1">
        <f>IFERROR(IF(Sheet1!$I223="","",Sheet1!$I223+365),"")</f>
        <v>46295</v>
      </c>
      <c r="K223" s="2">
        <f>IFERROR(IF(Sheet1!$I223="","",Sheet1!$I223+305),"")</f>
        <v>46235</v>
      </c>
    </row>
    <row r="224" spans="1:11" x14ac:dyDescent="0.35">
      <c r="A224" s="9">
        <v>223</v>
      </c>
      <c r="B224" s="10" t="s">
        <v>694</v>
      </c>
      <c r="C224" s="10" t="s">
        <v>695</v>
      </c>
      <c r="D224" s="11" t="s">
        <v>696</v>
      </c>
      <c r="E224" s="10" t="s">
        <v>37</v>
      </c>
      <c r="F224" s="1">
        <v>46038</v>
      </c>
      <c r="G224" s="1">
        <f>IFERROR(IF(Sheet1!$F224="","",Sheet1!$F224+365),"")</f>
        <v>46403</v>
      </c>
      <c r="H224" s="1">
        <f>IFERROR(IF(Sheet1!$F224="","",Sheet1!$F224+335),"")</f>
        <v>46373</v>
      </c>
      <c r="I224" s="1">
        <v>46002</v>
      </c>
      <c r="J224" s="1">
        <f>IFERROR(IF(Sheet1!$I224="","",Sheet1!$I224+365),"")</f>
        <v>46367</v>
      </c>
      <c r="K224" s="2">
        <f>IFERROR(IF(Sheet1!$I224="","",Sheet1!$I224+305),"")</f>
        <v>46307</v>
      </c>
    </row>
    <row r="225" spans="1:11" x14ac:dyDescent="0.35">
      <c r="A225" s="9">
        <v>224</v>
      </c>
      <c r="B225" s="10" t="s">
        <v>697</v>
      </c>
      <c r="C225" s="10" t="s">
        <v>698</v>
      </c>
      <c r="D225" s="10" t="s">
        <v>699</v>
      </c>
      <c r="E225" s="10" t="s">
        <v>484</v>
      </c>
      <c r="F225" s="1">
        <v>45998</v>
      </c>
      <c r="G225" s="1">
        <f>IFERROR(IF(Sheet1!$F225="","",Sheet1!$F225+365),"")</f>
        <v>46363</v>
      </c>
      <c r="H225" s="1">
        <f>IFERROR(IF(Sheet1!$F225="","",Sheet1!$F225+335),"")</f>
        <v>46333</v>
      </c>
      <c r="I225" s="1">
        <v>45918</v>
      </c>
      <c r="J225" s="1">
        <f>IFERROR(IF(Sheet1!$I225="","",Sheet1!$I225+365),"")</f>
        <v>46283</v>
      </c>
      <c r="K225" s="2">
        <f>IFERROR(IF(Sheet1!$I225="","",Sheet1!$I225+305),"")</f>
        <v>46223</v>
      </c>
    </row>
    <row r="226" spans="1:11" x14ac:dyDescent="0.35">
      <c r="A226" s="9">
        <v>225</v>
      </c>
      <c r="B226" s="10" t="s">
        <v>700</v>
      </c>
      <c r="C226" s="10" t="s">
        <v>701</v>
      </c>
      <c r="D226" s="11" t="s">
        <v>702</v>
      </c>
      <c r="E226" s="10" t="s">
        <v>14</v>
      </c>
      <c r="F226" s="1">
        <v>45980</v>
      </c>
      <c r="G226" s="1">
        <f>IFERROR(IF(Sheet1!$F226="","",Sheet1!$F226+365),"")</f>
        <v>46345</v>
      </c>
      <c r="H226" s="1">
        <f>IFERROR(IF(Sheet1!$F226="","",Sheet1!$F226+335),"")</f>
        <v>46315</v>
      </c>
      <c r="I226" s="1">
        <v>45904</v>
      </c>
      <c r="J226" s="1">
        <f>IFERROR(IF(Sheet1!$I226="","",Sheet1!$I226+365),"")</f>
        <v>46269</v>
      </c>
      <c r="K226" s="2">
        <f>IFERROR(IF(Sheet1!$I226="","",Sheet1!$I226+305),"")</f>
        <v>46209</v>
      </c>
    </row>
    <row r="227" spans="1:11" x14ac:dyDescent="0.35">
      <c r="A227" s="9">
        <v>226</v>
      </c>
      <c r="B227" s="10" t="s">
        <v>703</v>
      </c>
      <c r="C227" s="10" t="s">
        <v>704</v>
      </c>
      <c r="D227" s="11" t="s">
        <v>705</v>
      </c>
      <c r="E227" s="10" t="s">
        <v>14</v>
      </c>
      <c r="F227" s="1">
        <v>45925</v>
      </c>
      <c r="G227" s="1">
        <f>IFERROR(IF(Sheet1!$F227="","",Sheet1!$F227+365),"")</f>
        <v>46290</v>
      </c>
      <c r="H227" s="1">
        <f>IFERROR(IF(Sheet1!$F227="","",Sheet1!$F227+335),"")</f>
        <v>46260</v>
      </c>
      <c r="I227" s="1">
        <v>45925</v>
      </c>
      <c r="J227" s="1">
        <f>IFERROR(IF(Sheet1!$I227="","",Sheet1!$I227+365),"")</f>
        <v>46290</v>
      </c>
      <c r="K227" s="2">
        <f>IFERROR(IF(Sheet1!$I227="","",Sheet1!$I227+305),"")</f>
        <v>46230</v>
      </c>
    </row>
    <row r="228" spans="1:11" x14ac:dyDescent="0.35">
      <c r="A228" s="9">
        <v>227</v>
      </c>
      <c r="B228" s="10" t="s">
        <v>706</v>
      </c>
      <c r="C228" s="10" t="s">
        <v>707</v>
      </c>
      <c r="D228" s="11" t="s">
        <v>708</v>
      </c>
      <c r="E228" s="10" t="s">
        <v>14</v>
      </c>
      <c r="F228" s="1">
        <v>45980</v>
      </c>
      <c r="G228" s="1">
        <f>IFERROR(IF(Sheet1!$F228="","",Sheet1!$F228+365),"")</f>
        <v>46345</v>
      </c>
      <c r="H228" s="1">
        <f>IFERROR(IF(Sheet1!$F228="","",Sheet1!$F228+335),"")</f>
        <v>46315</v>
      </c>
      <c r="I228" s="1">
        <v>45936</v>
      </c>
      <c r="J228" s="1">
        <f>IFERROR(IF(Sheet1!$I228="","",Sheet1!$I228+365),"")</f>
        <v>46301</v>
      </c>
      <c r="K228" s="2">
        <f>IFERROR(IF(Sheet1!$I228="","",Sheet1!$I228+305),"")</f>
        <v>46241</v>
      </c>
    </row>
    <row r="229" spans="1:11" x14ac:dyDescent="0.35">
      <c r="A229" s="9">
        <v>228</v>
      </c>
      <c r="B229" s="12" t="s">
        <v>709</v>
      </c>
      <c r="C229" s="12" t="s">
        <v>710</v>
      </c>
      <c r="D229" s="12" t="s">
        <v>711</v>
      </c>
      <c r="E229" s="12" t="s">
        <v>22</v>
      </c>
      <c r="F229" s="14">
        <v>45978</v>
      </c>
      <c r="G229" s="1">
        <f>IFERROR(IF(Sheet1!$F229="","",Sheet1!$F229+365),"")</f>
        <v>46343</v>
      </c>
      <c r="H229" s="1">
        <f>IFERROR(IF(Sheet1!$F229="","",Sheet1!$F229+335),"")</f>
        <v>46313</v>
      </c>
      <c r="I229" s="14">
        <v>45978</v>
      </c>
      <c r="J229" s="1">
        <f>IFERROR(IF(Sheet1!$I229="","",Sheet1!$I229+365),"")</f>
        <v>46343</v>
      </c>
      <c r="K229" s="2">
        <f>IFERROR(IF(Sheet1!$I229="","",Sheet1!$I229+305),"")</f>
        <v>46283</v>
      </c>
    </row>
    <row r="230" spans="1:11" x14ac:dyDescent="0.35">
      <c r="A230" s="9">
        <v>229</v>
      </c>
      <c r="B230" s="10" t="s">
        <v>712</v>
      </c>
      <c r="C230" s="10" t="s">
        <v>713</v>
      </c>
      <c r="D230" s="11" t="s">
        <v>714</v>
      </c>
      <c r="E230" s="10" t="s">
        <v>14</v>
      </c>
      <c r="F230" s="1">
        <v>46001</v>
      </c>
      <c r="G230" s="1">
        <f>IFERROR(IF(Sheet1!$F230="","",Sheet1!$F230+365),"")</f>
        <v>46366</v>
      </c>
      <c r="H230" s="1">
        <f>IFERROR(IF(Sheet1!$F230="","",Sheet1!$F230+335),"")</f>
        <v>46336</v>
      </c>
      <c r="I230" s="1">
        <v>45939</v>
      </c>
      <c r="J230" s="1">
        <f>IFERROR(IF(Sheet1!$I230="","",Sheet1!$I230+365),"")</f>
        <v>46304</v>
      </c>
      <c r="K230" s="2">
        <f>IFERROR(IF(Sheet1!$I230="","",Sheet1!$I230+305),"")</f>
        <v>46244</v>
      </c>
    </row>
    <row r="231" spans="1:11" x14ac:dyDescent="0.35">
      <c r="A231" s="9">
        <v>230</v>
      </c>
      <c r="B231" s="10" t="s">
        <v>715</v>
      </c>
      <c r="C231" s="10" t="s">
        <v>716</v>
      </c>
      <c r="D231" s="11" t="s">
        <v>717</v>
      </c>
      <c r="E231" s="10" t="s">
        <v>26</v>
      </c>
      <c r="F231" s="1">
        <v>45979</v>
      </c>
      <c r="G231" s="1">
        <f>IFERROR(IF(Sheet1!$F231="","",Sheet1!$F231+365),"")</f>
        <v>46344</v>
      </c>
      <c r="H231" s="1">
        <f>IFERROR(IF(Sheet1!$F231="","",Sheet1!$F231+335),"")</f>
        <v>46314</v>
      </c>
      <c r="I231" s="1">
        <v>45912</v>
      </c>
      <c r="J231" s="1">
        <f>IFERROR(IF(Sheet1!$I231="","",Sheet1!$I231+365),"")</f>
        <v>46277</v>
      </c>
      <c r="K231" s="2">
        <f>IFERROR(IF(Sheet1!$I231="","",Sheet1!$I231+305),"")</f>
        <v>46217</v>
      </c>
    </row>
    <row r="232" spans="1:11" x14ac:dyDescent="0.35">
      <c r="A232" s="9">
        <v>231</v>
      </c>
      <c r="B232" s="10" t="s">
        <v>718</v>
      </c>
      <c r="C232" s="10" t="s">
        <v>719</v>
      </c>
      <c r="D232" s="11" t="s">
        <v>720</v>
      </c>
      <c r="E232" s="10" t="s">
        <v>14</v>
      </c>
      <c r="F232" s="1">
        <v>45994</v>
      </c>
      <c r="G232" s="1">
        <f>IFERROR(IF(Sheet1!$F232="","",Sheet1!$F232+365),"")</f>
        <v>46359</v>
      </c>
      <c r="H232" s="1">
        <f>IFERROR(IF(Sheet1!$F232="","",Sheet1!$F232+335),"")</f>
        <v>46329</v>
      </c>
      <c r="I232" s="1">
        <v>45938</v>
      </c>
      <c r="J232" s="1">
        <f>IFERROR(IF(Sheet1!$I232="","",Sheet1!$I232+365),"")</f>
        <v>46303</v>
      </c>
      <c r="K232" s="2">
        <f>IFERROR(IF(Sheet1!$I232="","",Sheet1!$I232+305),"")</f>
        <v>46243</v>
      </c>
    </row>
    <row r="233" spans="1:11" x14ac:dyDescent="0.35">
      <c r="A233" s="9">
        <v>232</v>
      </c>
      <c r="B233" s="12" t="s">
        <v>721</v>
      </c>
      <c r="C233" s="12" t="s">
        <v>722</v>
      </c>
      <c r="D233" s="12" t="s">
        <v>723</v>
      </c>
      <c r="E233" s="12" t="s">
        <v>22</v>
      </c>
      <c r="F233" s="14">
        <v>45994</v>
      </c>
      <c r="G233" s="1">
        <f>IFERROR(IF(Sheet1!$F233="","",Sheet1!$F233+365),"")</f>
        <v>46359</v>
      </c>
      <c r="H233" s="1">
        <f>IFERROR(IF(Sheet1!$F233="","",Sheet1!$F233+335),"")</f>
        <v>46329</v>
      </c>
      <c r="I233" s="14">
        <v>45981</v>
      </c>
      <c r="J233" s="1">
        <f>IFERROR(IF(Sheet1!$I233="","",Sheet1!$I233+365),"")</f>
        <v>46346</v>
      </c>
      <c r="K233" s="2">
        <f>IFERROR(IF(Sheet1!$I233="","",Sheet1!$I233+305),"")</f>
        <v>46286</v>
      </c>
    </row>
    <row r="234" spans="1:11" x14ac:dyDescent="0.35">
      <c r="A234" s="9">
        <v>233</v>
      </c>
      <c r="B234" s="10" t="s">
        <v>724</v>
      </c>
      <c r="C234" s="10" t="s">
        <v>725</v>
      </c>
      <c r="D234" s="11" t="s">
        <v>726</v>
      </c>
      <c r="E234" s="10" t="s">
        <v>18</v>
      </c>
      <c r="F234" s="1">
        <v>45982</v>
      </c>
      <c r="G234" s="1">
        <f>IFERROR(IF(Sheet1!$F234="","",Sheet1!$F234+365),"")</f>
        <v>46347</v>
      </c>
      <c r="H234" s="1">
        <f>IFERROR(IF(Sheet1!$F234="","",Sheet1!$F234+335),"")</f>
        <v>46317</v>
      </c>
      <c r="I234" s="1">
        <v>45959</v>
      </c>
      <c r="J234" s="1">
        <f>IFERROR(IF(Sheet1!$I234="","",Sheet1!$I234+365),"")</f>
        <v>46324</v>
      </c>
      <c r="K234" s="2">
        <f>IFERROR(IF(Sheet1!$I234="","",Sheet1!$I234+305),"")</f>
        <v>46264</v>
      </c>
    </row>
    <row r="235" spans="1:11" x14ac:dyDescent="0.35">
      <c r="A235" s="9">
        <v>234</v>
      </c>
      <c r="B235" s="10" t="s">
        <v>727</v>
      </c>
      <c r="C235" s="10" t="s">
        <v>728</v>
      </c>
      <c r="D235" s="11" t="s">
        <v>729</v>
      </c>
      <c r="E235" s="10" t="s">
        <v>18</v>
      </c>
      <c r="F235" s="1">
        <v>45978</v>
      </c>
      <c r="G235" s="1">
        <f>IFERROR(IF(Sheet1!$F235="","",Sheet1!$F235+365),"")</f>
        <v>46343</v>
      </c>
      <c r="H235" s="1">
        <f>IFERROR(IF(Sheet1!$F235="","",Sheet1!$F235+335),"")</f>
        <v>46313</v>
      </c>
      <c r="I235" s="1">
        <v>45946</v>
      </c>
      <c r="J235" s="1">
        <f>IFERROR(IF(Sheet1!$I235="","",Sheet1!$I235+365),"")</f>
        <v>46311</v>
      </c>
      <c r="K235" s="2">
        <f>IFERROR(IF(Sheet1!$I235="","",Sheet1!$I235+305),"")</f>
        <v>46251</v>
      </c>
    </row>
    <row r="236" spans="1:11" x14ac:dyDescent="0.35">
      <c r="A236" s="9">
        <v>235</v>
      </c>
      <c r="B236" s="10" t="s">
        <v>730</v>
      </c>
      <c r="C236" s="10" t="s">
        <v>731</v>
      </c>
      <c r="D236" s="11" t="s">
        <v>732</v>
      </c>
      <c r="E236" s="10" t="s">
        <v>37</v>
      </c>
      <c r="F236" s="1">
        <v>45993</v>
      </c>
      <c r="G236" s="1">
        <f>IFERROR(IF(Sheet1!$F236="","",Sheet1!$F236+365),"")</f>
        <v>46358</v>
      </c>
      <c r="H236" s="1">
        <f>IFERROR(IF(Sheet1!$F236="","",Sheet1!$F236+335),"")</f>
        <v>46328</v>
      </c>
      <c r="I236" s="1">
        <v>45984</v>
      </c>
      <c r="J236" s="1">
        <f>IFERROR(IF(Sheet1!$I236="","",Sheet1!$I236+365),"")</f>
        <v>46349</v>
      </c>
      <c r="K236" s="2">
        <f>IFERROR(IF(Sheet1!$I236="","",Sheet1!$I236+305),"")</f>
        <v>46289</v>
      </c>
    </row>
    <row r="237" spans="1:11" x14ac:dyDescent="0.35">
      <c r="A237" s="9">
        <v>236</v>
      </c>
      <c r="B237" s="10" t="s">
        <v>733</v>
      </c>
      <c r="C237" s="10" t="s">
        <v>734</v>
      </c>
      <c r="D237" s="10" t="s">
        <v>735</v>
      </c>
      <c r="E237" s="10" t="s">
        <v>33</v>
      </c>
      <c r="F237" s="1">
        <v>45982</v>
      </c>
      <c r="G237" s="1">
        <f>IFERROR(IF(Sheet1!$F237="","",Sheet1!$F237+365),"")</f>
        <v>46347</v>
      </c>
      <c r="H237" s="1">
        <f>IFERROR(IF(Sheet1!$F237="","",Sheet1!$F237+335),"")</f>
        <v>46317</v>
      </c>
      <c r="I237" s="1">
        <v>45918</v>
      </c>
      <c r="J237" s="1">
        <f>IFERROR(IF(Sheet1!$I237="","",Sheet1!$I237+365),"")</f>
        <v>46283</v>
      </c>
      <c r="K237" s="2">
        <f>IFERROR(IF(Sheet1!$I237="","",Sheet1!$I237+305),"")</f>
        <v>46223</v>
      </c>
    </row>
    <row r="238" spans="1:11" x14ac:dyDescent="0.35">
      <c r="A238" s="9">
        <v>237</v>
      </c>
      <c r="B238" s="10" t="s">
        <v>736</v>
      </c>
      <c r="C238" s="10" t="s">
        <v>737</v>
      </c>
      <c r="D238" s="11" t="s">
        <v>738</v>
      </c>
      <c r="E238" s="10" t="s">
        <v>37</v>
      </c>
      <c r="F238" s="1">
        <v>45898</v>
      </c>
      <c r="G238" s="1">
        <f>IFERROR(IF(Sheet1!$F238="","",Sheet1!$F238+365),"")</f>
        <v>46263</v>
      </c>
      <c r="H238" s="1">
        <f>IFERROR(IF(Sheet1!$F238="","",Sheet1!$F238+335),"")</f>
        <v>46233</v>
      </c>
      <c r="I238" s="1">
        <v>45898</v>
      </c>
      <c r="J238" s="1">
        <f>IFERROR(IF(Sheet1!$I238="","",Sheet1!$I238+365),"")</f>
        <v>46263</v>
      </c>
      <c r="K238" s="2">
        <f>IFERROR(IF(Sheet1!$I238="","",Sheet1!$I238+305),"")</f>
        <v>46203</v>
      </c>
    </row>
    <row r="239" spans="1:11" x14ac:dyDescent="0.35">
      <c r="A239" s="9">
        <v>238</v>
      </c>
      <c r="B239" s="10" t="s">
        <v>739</v>
      </c>
      <c r="C239" s="10" t="s">
        <v>740</v>
      </c>
      <c r="D239" s="11" t="s">
        <v>741</v>
      </c>
      <c r="E239" s="10" t="s">
        <v>37</v>
      </c>
      <c r="F239" s="1">
        <v>45997</v>
      </c>
      <c r="G239" s="1">
        <f>IFERROR(IF(Sheet1!$F239="","",Sheet1!$F239+365),"")</f>
        <v>46362</v>
      </c>
      <c r="H239" s="1">
        <f>IFERROR(IF(Sheet1!$F239="","",Sheet1!$F239+335),"")</f>
        <v>46332</v>
      </c>
      <c r="I239" s="1">
        <v>45972</v>
      </c>
      <c r="J239" s="1">
        <f>IFERROR(IF(Sheet1!$I239="","",Sheet1!$I239+365),"")</f>
        <v>46337</v>
      </c>
      <c r="K239" s="2">
        <f>IFERROR(IF(Sheet1!$I239="","",Sheet1!$I239+305),"")</f>
        <v>46277</v>
      </c>
    </row>
    <row r="240" spans="1:11" x14ac:dyDescent="0.35">
      <c r="A240" s="9">
        <v>239</v>
      </c>
      <c r="B240" s="12" t="s">
        <v>742</v>
      </c>
      <c r="C240" s="12" t="s">
        <v>743</v>
      </c>
      <c r="D240" s="13" t="s">
        <v>744</v>
      </c>
      <c r="E240" s="12" t="s">
        <v>22</v>
      </c>
      <c r="F240" s="14">
        <v>46000</v>
      </c>
      <c r="G240" s="1">
        <f>IFERROR(IF(Sheet1!$F240="","",Sheet1!$F240+365),"")</f>
        <v>46365</v>
      </c>
      <c r="H240" s="1">
        <f>IFERROR(IF(Sheet1!$F240="","",Sheet1!$F240+335),"")</f>
        <v>46335</v>
      </c>
      <c r="I240" s="14">
        <v>45981</v>
      </c>
      <c r="J240" s="1">
        <f>IFERROR(IF(Sheet1!$I240="","",Sheet1!$I240+365),"")</f>
        <v>46346</v>
      </c>
      <c r="K240" s="2">
        <f>IFERROR(IF(Sheet1!$I240="","",Sheet1!$I240+305),"")</f>
        <v>46286</v>
      </c>
    </row>
    <row r="241" spans="1:11" x14ac:dyDescent="0.35">
      <c r="A241" s="9">
        <v>240</v>
      </c>
      <c r="B241" s="10" t="s">
        <v>745</v>
      </c>
      <c r="C241" s="10" t="s">
        <v>746</v>
      </c>
      <c r="D241" s="11" t="s">
        <v>747</v>
      </c>
      <c r="E241" s="10" t="s">
        <v>14</v>
      </c>
      <c r="F241" s="1">
        <v>45981</v>
      </c>
      <c r="G241" s="1">
        <f>IFERROR(IF(Sheet1!$F241="","",Sheet1!$F241+365),"")</f>
        <v>46346</v>
      </c>
      <c r="H241" s="1">
        <f>IFERROR(IF(Sheet1!$F241="","",Sheet1!$F241+335),"")</f>
        <v>46316</v>
      </c>
      <c r="I241" s="1">
        <v>45901</v>
      </c>
      <c r="J241" s="1">
        <f>IFERROR(IF(Sheet1!$I241="","",Sheet1!$I241+365),"")</f>
        <v>46266</v>
      </c>
      <c r="K241" s="2">
        <f>IFERROR(IF(Sheet1!$I241="","",Sheet1!$I241+305),"")</f>
        <v>46206</v>
      </c>
    </row>
    <row r="242" spans="1:11" x14ac:dyDescent="0.35">
      <c r="A242" s="9">
        <v>241</v>
      </c>
      <c r="B242" s="12" t="s">
        <v>748</v>
      </c>
      <c r="C242" s="12" t="s">
        <v>749</v>
      </c>
      <c r="D242" s="13" t="s">
        <v>750</v>
      </c>
      <c r="E242" s="10" t="s">
        <v>18</v>
      </c>
      <c r="F242" s="14">
        <v>45989</v>
      </c>
      <c r="G242" s="1">
        <f>IFERROR(IF(Sheet1!$F242="","",Sheet1!$F242+365),"")</f>
        <v>46354</v>
      </c>
      <c r="H242" s="1">
        <f>IFERROR(IF(Sheet1!$F242="","",Sheet1!$F242+335),"")</f>
        <v>46324</v>
      </c>
      <c r="I242" s="14">
        <v>45937</v>
      </c>
      <c r="J242" s="1">
        <f>IFERROR(IF(Sheet1!$I242="","",Sheet1!$I242+365),"")</f>
        <v>46302</v>
      </c>
      <c r="K242" s="2">
        <f>IFERROR(IF(Sheet1!$I242="","",Sheet1!$I242+305),"")</f>
        <v>46242</v>
      </c>
    </row>
    <row r="243" spans="1:11" x14ac:dyDescent="0.35">
      <c r="A243" s="9">
        <v>242</v>
      </c>
      <c r="B243" s="10" t="s">
        <v>751</v>
      </c>
      <c r="C243" s="10" t="s">
        <v>752</v>
      </c>
      <c r="D243" s="11" t="s">
        <v>753</v>
      </c>
      <c r="E243" s="10" t="s">
        <v>14</v>
      </c>
      <c r="F243" s="1">
        <v>45986</v>
      </c>
      <c r="G243" s="1">
        <f>IFERROR(IF(Sheet1!$F243="","",Sheet1!$F243+365),"")</f>
        <v>46351</v>
      </c>
      <c r="H243" s="1">
        <f>IFERROR(IF(Sheet1!$F243="","",Sheet1!$F243+335),"")</f>
        <v>46321</v>
      </c>
      <c r="I243" s="1">
        <v>45931</v>
      </c>
      <c r="J243" s="1">
        <f>IFERROR(IF(Sheet1!$I243="","",Sheet1!$I243+365),"")</f>
        <v>46296</v>
      </c>
      <c r="K243" s="2">
        <f>IFERROR(IF(Sheet1!$I243="","",Sheet1!$I243+305),"")</f>
        <v>46236</v>
      </c>
    </row>
    <row r="244" spans="1:11" x14ac:dyDescent="0.35">
      <c r="A244" s="9">
        <v>243</v>
      </c>
      <c r="B244" s="10" t="s">
        <v>754</v>
      </c>
      <c r="C244" s="10" t="s">
        <v>755</v>
      </c>
      <c r="D244" s="11" t="s">
        <v>756</v>
      </c>
      <c r="E244" s="10" t="s">
        <v>18</v>
      </c>
      <c r="F244" s="1">
        <v>45979</v>
      </c>
      <c r="G244" s="1">
        <f>IFERROR(IF(Sheet1!$F244="","",Sheet1!$F244+365),"")</f>
        <v>46344</v>
      </c>
      <c r="H244" s="1">
        <f>IFERROR(IF(Sheet1!$F244="","",Sheet1!$F244+335),"")</f>
        <v>46314</v>
      </c>
      <c r="I244" s="1">
        <v>45973</v>
      </c>
      <c r="J244" s="1">
        <f>IFERROR(IF(Sheet1!$I244="","",Sheet1!$I244+365),"")</f>
        <v>46338</v>
      </c>
      <c r="K244" s="2">
        <f>IFERROR(IF(Sheet1!$I244="","",Sheet1!$I244+305),"")</f>
        <v>46278</v>
      </c>
    </row>
    <row r="245" spans="1:11" x14ac:dyDescent="0.35">
      <c r="A245" s="9">
        <v>244</v>
      </c>
      <c r="B245" s="10" t="s">
        <v>757</v>
      </c>
      <c r="C245" s="10" t="s">
        <v>758</v>
      </c>
      <c r="D245" s="10" t="s">
        <v>759</v>
      </c>
      <c r="E245" s="10" t="s">
        <v>484</v>
      </c>
      <c r="F245" s="1">
        <v>45999</v>
      </c>
      <c r="G245" s="1">
        <f>IFERROR(IF(Sheet1!$F245="","",Sheet1!$F245+365),"")</f>
        <v>46364</v>
      </c>
      <c r="H245" s="1">
        <f>IFERROR(IF(Sheet1!$F245="","",Sheet1!$F245+335),"")</f>
        <v>46334</v>
      </c>
      <c r="I245" s="1">
        <v>45998</v>
      </c>
      <c r="J245" s="1">
        <f>IFERROR(IF(Sheet1!$I245="","",Sheet1!$I245+365),"")</f>
        <v>46363</v>
      </c>
      <c r="K245" s="2">
        <f>IFERROR(IF(Sheet1!$I245="","",Sheet1!$I245+305),"")</f>
        <v>46303</v>
      </c>
    </row>
    <row r="246" spans="1:11" x14ac:dyDescent="0.35">
      <c r="A246" s="9">
        <v>245</v>
      </c>
      <c r="B246" s="10" t="s">
        <v>760</v>
      </c>
      <c r="C246" s="10" t="s">
        <v>761</v>
      </c>
      <c r="D246" s="11" t="s">
        <v>762</v>
      </c>
      <c r="E246" s="10" t="s">
        <v>37</v>
      </c>
      <c r="F246" s="1">
        <v>46004</v>
      </c>
      <c r="G246" s="1">
        <f>IFERROR(IF(Sheet1!$F246="","",Sheet1!$F246+365),"")</f>
        <v>46369</v>
      </c>
      <c r="H246" s="1">
        <f>IFERROR(IF(Sheet1!$F246="","",Sheet1!$F246+335),"")</f>
        <v>46339</v>
      </c>
      <c r="I246" s="1">
        <v>45947</v>
      </c>
      <c r="J246" s="1">
        <f>IFERROR(IF(Sheet1!$I246="","",Sheet1!$I246+365),"")</f>
        <v>46312</v>
      </c>
      <c r="K246" s="2">
        <f>IFERROR(IF(Sheet1!$I246="","",Sheet1!$I246+305),"")</f>
        <v>46252</v>
      </c>
    </row>
    <row r="247" spans="1:11" x14ac:dyDescent="0.35">
      <c r="A247" s="9">
        <v>246</v>
      </c>
      <c r="B247" s="10" t="s">
        <v>763</v>
      </c>
      <c r="C247" s="10" t="s">
        <v>764</v>
      </c>
      <c r="D247" s="11" t="s">
        <v>765</v>
      </c>
      <c r="E247" s="10" t="s">
        <v>37</v>
      </c>
      <c r="F247" s="1">
        <v>45997</v>
      </c>
      <c r="G247" s="1">
        <f>IFERROR(IF(Sheet1!$F247="","",Sheet1!$F247+365),"")</f>
        <v>46362</v>
      </c>
      <c r="H247" s="1">
        <f>IFERROR(IF(Sheet1!$F247="","",Sheet1!$F247+335),"")</f>
        <v>46332</v>
      </c>
      <c r="I247" s="1">
        <v>45978</v>
      </c>
      <c r="J247" s="1">
        <f>IFERROR(IF(Sheet1!$I247="","",Sheet1!$I247+365),"")</f>
        <v>46343</v>
      </c>
      <c r="K247" s="2">
        <f>IFERROR(IF(Sheet1!$I247="","",Sheet1!$I247+305),"")</f>
        <v>46283</v>
      </c>
    </row>
    <row r="248" spans="1:11" x14ac:dyDescent="0.35">
      <c r="A248" s="9">
        <v>247</v>
      </c>
      <c r="B248" s="10" t="s">
        <v>766</v>
      </c>
      <c r="C248" s="10" t="s">
        <v>767</v>
      </c>
      <c r="D248" s="11" t="s">
        <v>768</v>
      </c>
      <c r="E248" s="10" t="s">
        <v>37</v>
      </c>
      <c r="F248" s="1">
        <v>46056</v>
      </c>
      <c r="G248" s="1">
        <f>IFERROR(IF(Sheet1!$F248="","",Sheet1!$F248+365),"")</f>
        <v>46421</v>
      </c>
      <c r="H248" s="1">
        <f>IFERROR(IF(Sheet1!$F248="","",Sheet1!$F248+335),"")</f>
        <v>46391</v>
      </c>
      <c r="I248" s="1">
        <v>45931</v>
      </c>
      <c r="J248" s="1">
        <f>IFERROR(IF(Sheet1!$I248="","",Sheet1!$I248+365),"")</f>
        <v>46296</v>
      </c>
      <c r="K248" s="2">
        <f>IFERROR(IF(Sheet1!$I248="","",Sheet1!$I248+305),"")</f>
        <v>46236</v>
      </c>
    </row>
    <row r="249" spans="1:11" x14ac:dyDescent="0.35">
      <c r="A249" s="9">
        <v>248</v>
      </c>
      <c r="B249" s="10" t="s">
        <v>769</v>
      </c>
      <c r="C249" s="10" t="s">
        <v>770</v>
      </c>
      <c r="D249" s="11" t="s">
        <v>771</v>
      </c>
      <c r="E249" s="10" t="s">
        <v>56</v>
      </c>
      <c r="F249" s="1">
        <v>46004</v>
      </c>
      <c r="G249" s="1">
        <f>IFERROR(IF(Sheet1!$F249="","",Sheet1!$F249+365),"")</f>
        <v>46369</v>
      </c>
      <c r="H249" s="1">
        <f>IFERROR(IF(Sheet1!$F249="","",Sheet1!$F249+335),"")</f>
        <v>46339</v>
      </c>
      <c r="I249" s="1">
        <v>45965</v>
      </c>
      <c r="J249" s="1">
        <f>IFERROR(IF(Sheet1!$I249="","",Sheet1!$I249+365),"")</f>
        <v>46330</v>
      </c>
      <c r="K249" s="2">
        <f>IFERROR(IF(Sheet1!$I249="","",Sheet1!$I249+305),"")</f>
        <v>46270</v>
      </c>
    </row>
    <row r="250" spans="1:11" x14ac:dyDescent="0.35">
      <c r="A250" s="9">
        <v>249</v>
      </c>
      <c r="B250" s="10" t="s">
        <v>772</v>
      </c>
      <c r="C250" s="10" t="s">
        <v>773</v>
      </c>
      <c r="D250" s="11" t="s">
        <v>774</v>
      </c>
      <c r="E250" s="10" t="s">
        <v>26</v>
      </c>
      <c r="F250" s="1">
        <v>46000</v>
      </c>
      <c r="G250" s="1">
        <f>IFERROR(IF(Sheet1!$F250="","",Sheet1!$F250+365),"")</f>
        <v>46365</v>
      </c>
      <c r="H250" s="1">
        <f>IFERROR(IF(Sheet1!$F250="","",Sheet1!$F250+335),"")</f>
        <v>46335</v>
      </c>
      <c r="I250" s="1">
        <v>46001</v>
      </c>
      <c r="J250" s="1">
        <f>IFERROR(IF(Sheet1!$I250="","",Sheet1!$I250+365),"")</f>
        <v>46366</v>
      </c>
      <c r="K250" s="2">
        <f>IFERROR(IF(Sheet1!$I250="","",Sheet1!$I250+305),"")</f>
        <v>46306</v>
      </c>
    </row>
    <row r="251" spans="1:11" x14ac:dyDescent="0.35">
      <c r="A251" s="9">
        <v>250</v>
      </c>
      <c r="B251" s="10" t="s">
        <v>775</v>
      </c>
      <c r="C251" s="10" t="s">
        <v>776</v>
      </c>
      <c r="D251" s="11" t="s">
        <v>777</v>
      </c>
      <c r="E251" s="10" t="s">
        <v>37</v>
      </c>
      <c r="F251" s="1">
        <v>45981</v>
      </c>
      <c r="G251" s="1">
        <f>IFERROR(IF(Sheet1!$F251="","",Sheet1!$F251+365),"")</f>
        <v>46346</v>
      </c>
      <c r="H251" s="1">
        <f>IFERROR(IF(Sheet1!$F251="","",Sheet1!$F251+335),"")</f>
        <v>46316</v>
      </c>
      <c r="I251" s="1">
        <v>45959</v>
      </c>
      <c r="J251" s="1">
        <f>IFERROR(IF(Sheet1!$I251="","",Sheet1!$I251+365),"")</f>
        <v>46324</v>
      </c>
      <c r="K251" s="2">
        <f>IFERROR(IF(Sheet1!$I251="","",Sheet1!$I251+305),"")</f>
        <v>46264</v>
      </c>
    </row>
    <row r="252" spans="1:11" x14ac:dyDescent="0.35">
      <c r="A252" s="9">
        <v>251</v>
      </c>
      <c r="B252" s="10" t="s">
        <v>778</v>
      </c>
      <c r="C252" s="10" t="s">
        <v>779</v>
      </c>
      <c r="D252" s="11" t="s">
        <v>780</v>
      </c>
      <c r="E252" s="10" t="s">
        <v>14</v>
      </c>
      <c r="F252" s="1">
        <v>45979</v>
      </c>
      <c r="G252" s="1">
        <f>IFERROR(IF(Sheet1!$F252="","",Sheet1!$F252+365),"")</f>
        <v>46344</v>
      </c>
      <c r="H252" s="1">
        <f>IFERROR(IF(Sheet1!$F252="","",Sheet1!$F252+335),"")</f>
        <v>46314</v>
      </c>
      <c r="I252" s="1">
        <v>45902</v>
      </c>
      <c r="J252" s="1">
        <f>IFERROR(IF(Sheet1!$I252="","",Sheet1!$I252+365),"")</f>
        <v>46267</v>
      </c>
      <c r="K252" s="2">
        <f>IFERROR(IF(Sheet1!$I252="","",Sheet1!$I252+305),"")</f>
        <v>46207</v>
      </c>
    </row>
    <row r="253" spans="1:11" x14ac:dyDescent="0.35">
      <c r="A253" s="9">
        <v>252</v>
      </c>
      <c r="B253" s="10" t="s">
        <v>781</v>
      </c>
      <c r="C253" s="10" t="s">
        <v>782</v>
      </c>
      <c r="D253" s="11" t="s">
        <v>783</v>
      </c>
      <c r="E253" s="10" t="s">
        <v>18</v>
      </c>
      <c r="F253" s="1">
        <v>45978</v>
      </c>
      <c r="G253" s="1">
        <f>IFERROR(IF(Sheet1!$F253="","",Sheet1!$F253+365),"")</f>
        <v>46343</v>
      </c>
      <c r="H253" s="1">
        <f>IFERROR(IF(Sheet1!$F253="","",Sheet1!$F253+335),"")</f>
        <v>46313</v>
      </c>
      <c r="I253" s="1">
        <v>45939</v>
      </c>
      <c r="J253" s="1">
        <f>IFERROR(IF(Sheet1!$I253="","",Sheet1!$I253+365),"")</f>
        <v>46304</v>
      </c>
      <c r="K253" s="2">
        <f>IFERROR(IF(Sheet1!$I253="","",Sheet1!$I253+305),"")</f>
        <v>46244</v>
      </c>
    </row>
    <row r="254" spans="1:11" x14ac:dyDescent="0.35">
      <c r="A254" s="9">
        <v>253</v>
      </c>
      <c r="B254" s="10" t="s">
        <v>784</v>
      </c>
      <c r="C254" s="10" t="s">
        <v>785</v>
      </c>
      <c r="D254" s="11" t="s">
        <v>786</v>
      </c>
      <c r="E254" s="10" t="s">
        <v>37</v>
      </c>
      <c r="F254" s="1">
        <v>45998</v>
      </c>
      <c r="G254" s="1">
        <f>IFERROR(IF(Sheet1!$F254="","",Sheet1!$F254+365),"")</f>
        <v>46363</v>
      </c>
      <c r="H254" s="1">
        <f>IFERROR(IF(Sheet1!$F254="","",Sheet1!$F254+335),"")</f>
        <v>46333</v>
      </c>
      <c r="I254" s="1">
        <v>45948</v>
      </c>
      <c r="J254" s="1">
        <f>IFERROR(IF(Sheet1!$I254="","",Sheet1!$I254+365),"")</f>
        <v>46313</v>
      </c>
      <c r="K254" s="2">
        <f>IFERROR(IF(Sheet1!$I254="","",Sheet1!$I254+305),"")</f>
        <v>46253</v>
      </c>
    </row>
    <row r="255" spans="1:11" x14ac:dyDescent="0.35">
      <c r="A255" s="9">
        <v>254</v>
      </c>
      <c r="B255" s="10" t="s">
        <v>787</v>
      </c>
      <c r="C255" s="10" t="s">
        <v>788</v>
      </c>
      <c r="D255" s="10" t="s">
        <v>789</v>
      </c>
      <c r="E255" s="10" t="s">
        <v>215</v>
      </c>
      <c r="F255" s="1">
        <v>45793</v>
      </c>
      <c r="G255" s="1">
        <f>IFERROR(IF(Sheet1!$F255="","",Sheet1!$F255+365),"")</f>
        <v>46158</v>
      </c>
      <c r="H255" s="1">
        <f>IFERROR(IF(Sheet1!$F255="","",Sheet1!$F255+335),"")</f>
        <v>46128</v>
      </c>
      <c r="I255" s="1">
        <v>45782</v>
      </c>
      <c r="J255" s="1">
        <f>IFERROR(IF(Sheet1!$I255="","",Sheet1!$I255+365),"")</f>
        <v>46147</v>
      </c>
      <c r="K255" s="2">
        <f>IFERROR(IF(Sheet1!$I255="","",Sheet1!$I255+305),"")</f>
        <v>46087</v>
      </c>
    </row>
    <row r="256" spans="1:11" x14ac:dyDescent="0.35">
      <c r="A256" s="9">
        <v>255</v>
      </c>
      <c r="B256" s="10" t="s">
        <v>790</v>
      </c>
      <c r="C256" s="10" t="s">
        <v>791</v>
      </c>
      <c r="D256" s="11" t="s">
        <v>792</v>
      </c>
      <c r="E256" s="10" t="s">
        <v>88</v>
      </c>
      <c r="F256" s="1">
        <v>45861</v>
      </c>
      <c r="G256" s="1">
        <f>IFERROR(IF(Sheet1!$F256="","",Sheet1!$F256+365),"")</f>
        <v>46226</v>
      </c>
      <c r="H256" s="1">
        <f>IFERROR(IF(Sheet1!$F256="","",Sheet1!$F256+335),"")</f>
        <v>46196</v>
      </c>
      <c r="I256" s="1">
        <v>45860</v>
      </c>
      <c r="J256" s="1">
        <f>IFERROR(IF(Sheet1!$I256="","",Sheet1!$I256+365),"")</f>
        <v>46225</v>
      </c>
      <c r="K256" s="2">
        <f>IFERROR(IF(Sheet1!$I256="","",Sheet1!$I256+305),"")</f>
        <v>46165</v>
      </c>
    </row>
    <row r="257" spans="1:11" x14ac:dyDescent="0.35">
      <c r="A257" s="9">
        <v>256</v>
      </c>
      <c r="B257" s="12" t="s">
        <v>793</v>
      </c>
      <c r="C257" s="12" t="s">
        <v>794</v>
      </c>
      <c r="D257" s="12" t="s">
        <v>795</v>
      </c>
      <c r="E257" s="12" t="s">
        <v>22</v>
      </c>
      <c r="F257" s="14">
        <v>45992</v>
      </c>
      <c r="G257" s="1">
        <f>IFERROR(IF(Sheet1!$F257="","",Sheet1!$F257+365),"")</f>
        <v>46357</v>
      </c>
      <c r="H257" s="1">
        <f>IFERROR(IF(Sheet1!$F257="","",Sheet1!$F257+335),"")</f>
        <v>46327</v>
      </c>
      <c r="I257" s="14">
        <v>45992</v>
      </c>
      <c r="J257" s="1">
        <f>IFERROR(IF(Sheet1!$I257="","",Sheet1!$I257+365),"")</f>
        <v>46357</v>
      </c>
      <c r="K257" s="2">
        <f>IFERROR(IF(Sheet1!$I257="","",Sheet1!$I257+305),"")</f>
        <v>46297</v>
      </c>
    </row>
    <row r="258" spans="1:11" x14ac:dyDescent="0.35">
      <c r="A258" s="9">
        <v>257</v>
      </c>
      <c r="B258" s="10" t="s">
        <v>796</v>
      </c>
      <c r="C258" s="10" t="s">
        <v>797</v>
      </c>
      <c r="D258" s="10" t="s">
        <v>798</v>
      </c>
      <c r="E258" s="10" t="s">
        <v>172</v>
      </c>
      <c r="F258" s="1"/>
      <c r="G258" s="1" t="str">
        <f>IFERROR(IF(Sheet1!$F258="","",Sheet1!$F258+365),"")</f>
        <v/>
      </c>
      <c r="H258" s="1" t="str">
        <f>IFERROR(IF(Sheet1!$F258="","",Sheet1!$F258+335),"")</f>
        <v/>
      </c>
      <c r="I258" s="1"/>
      <c r="J258" s="1" t="str">
        <f>IFERROR(IF(Sheet1!$I258="","",Sheet1!$I258+365),"")</f>
        <v/>
      </c>
      <c r="K258" s="2" t="str">
        <f>IFERROR(IF(Sheet1!$I258="","",Sheet1!$I258+305),"")</f>
        <v/>
      </c>
    </row>
    <row r="259" spans="1:11" x14ac:dyDescent="0.35">
      <c r="A259" s="9">
        <v>258</v>
      </c>
      <c r="B259" s="10" t="s">
        <v>799</v>
      </c>
      <c r="C259" s="10" t="s">
        <v>800</v>
      </c>
      <c r="D259" s="11" t="s">
        <v>801</v>
      </c>
      <c r="E259" s="10" t="s">
        <v>22</v>
      </c>
      <c r="F259" s="1">
        <v>45980</v>
      </c>
      <c r="G259" s="1">
        <f>IFERROR(IF(Sheet1!$F259="","",Sheet1!$F259+365),"")</f>
        <v>46345</v>
      </c>
      <c r="H259" s="1">
        <f>IFERROR(IF(Sheet1!$F259="","",Sheet1!$F259+335),"")</f>
        <v>46315</v>
      </c>
      <c r="I259" s="1">
        <v>45943</v>
      </c>
      <c r="J259" s="1">
        <f>IFERROR(IF(Sheet1!$I259="","",Sheet1!$I259+365),"")</f>
        <v>46308</v>
      </c>
      <c r="K259" s="2">
        <f>IFERROR(IF(Sheet1!$I259="","",Sheet1!$I259+305),"")</f>
        <v>46248</v>
      </c>
    </row>
    <row r="260" spans="1:11" x14ac:dyDescent="0.35">
      <c r="A260" s="9">
        <v>259</v>
      </c>
      <c r="B260" s="10" t="s">
        <v>802</v>
      </c>
      <c r="C260" s="10" t="s">
        <v>803</v>
      </c>
      <c r="D260" s="11" t="s">
        <v>804</v>
      </c>
      <c r="E260" s="10" t="s">
        <v>14</v>
      </c>
      <c r="F260" s="1">
        <v>45985</v>
      </c>
      <c r="G260" s="1">
        <f>IFERROR(IF(Sheet1!$F260="","",Sheet1!$F260+365),"")</f>
        <v>46350</v>
      </c>
      <c r="H260" s="1">
        <f>IFERROR(IF(Sheet1!$F260="","",Sheet1!$F260+335),"")</f>
        <v>46320</v>
      </c>
      <c r="I260" s="1">
        <v>45905</v>
      </c>
      <c r="J260" s="1">
        <f>IFERROR(IF(Sheet1!$I260="","",Sheet1!$I260+365),"")</f>
        <v>46270</v>
      </c>
      <c r="K260" s="2">
        <f>IFERROR(IF(Sheet1!$I260="","",Sheet1!$I260+305),"")</f>
        <v>46210</v>
      </c>
    </row>
    <row r="261" spans="1:11" x14ac:dyDescent="0.35">
      <c r="A261" s="9">
        <v>260</v>
      </c>
      <c r="B261" s="10" t="s">
        <v>805</v>
      </c>
      <c r="C261" s="10" t="s">
        <v>806</v>
      </c>
      <c r="D261" s="11" t="s">
        <v>807</v>
      </c>
      <c r="E261" s="10" t="s">
        <v>37</v>
      </c>
      <c r="F261" s="1">
        <v>45980</v>
      </c>
      <c r="G261" s="1">
        <f>IFERROR(IF(Sheet1!$F261="","",Sheet1!$F261+365),"")</f>
        <v>46345</v>
      </c>
      <c r="H261" s="1">
        <f>IFERROR(IF(Sheet1!$F261="","",Sheet1!$F261+335),"")</f>
        <v>46315</v>
      </c>
      <c r="I261" s="1">
        <v>45967</v>
      </c>
      <c r="J261" s="1">
        <f>IFERROR(IF(Sheet1!$I261="","",Sheet1!$I261+365),"")</f>
        <v>46332</v>
      </c>
      <c r="K261" s="2">
        <f>IFERROR(IF(Sheet1!$I261="","",Sheet1!$I261+305),"")</f>
        <v>46272</v>
      </c>
    </row>
    <row r="262" spans="1:11" x14ac:dyDescent="0.35">
      <c r="A262" s="9">
        <v>261</v>
      </c>
      <c r="B262" s="12" t="s">
        <v>808</v>
      </c>
      <c r="C262" s="12" t="s">
        <v>809</v>
      </c>
      <c r="D262" s="12" t="s">
        <v>810</v>
      </c>
      <c r="E262" s="12" t="s">
        <v>22</v>
      </c>
      <c r="F262" s="14">
        <v>45987</v>
      </c>
      <c r="G262" s="1">
        <f>IFERROR(IF(Sheet1!$F262="","",Sheet1!$F262+365),"")</f>
        <v>46352</v>
      </c>
      <c r="H262" s="1">
        <f>IFERROR(IF(Sheet1!$F262="","",Sheet1!$F262+335),"")</f>
        <v>46322</v>
      </c>
      <c r="I262" s="14">
        <v>45992</v>
      </c>
      <c r="J262" s="1">
        <f>IFERROR(IF(Sheet1!$I262="","",Sheet1!$I262+365),"")</f>
        <v>46357</v>
      </c>
      <c r="K262" s="2">
        <f>IFERROR(IF(Sheet1!$I262="","",Sheet1!$I262+305),"")</f>
        <v>46297</v>
      </c>
    </row>
    <row r="263" spans="1:11" x14ac:dyDescent="0.35">
      <c r="A263" s="9">
        <v>262</v>
      </c>
      <c r="B263" s="10" t="s">
        <v>811</v>
      </c>
      <c r="C263" s="10" t="s">
        <v>812</v>
      </c>
      <c r="D263" s="11" t="s">
        <v>813</v>
      </c>
      <c r="E263" s="10" t="s">
        <v>26</v>
      </c>
      <c r="F263" s="1">
        <v>45982</v>
      </c>
      <c r="G263" s="1">
        <f>IFERROR(IF(Sheet1!$F263="","",Sheet1!$F263+365),"")</f>
        <v>46347</v>
      </c>
      <c r="H263" s="1">
        <f>IFERROR(IF(Sheet1!$F263="","",Sheet1!$F263+335),"")</f>
        <v>46317</v>
      </c>
      <c r="I263" s="1">
        <v>45910</v>
      </c>
      <c r="J263" s="1">
        <f>IFERROR(IF(Sheet1!$I263="","",Sheet1!$I263+365),"")</f>
        <v>46275</v>
      </c>
      <c r="K263" s="2">
        <f>IFERROR(IF(Sheet1!$I263="","",Sheet1!$I263+305),"")</f>
        <v>46215</v>
      </c>
    </row>
    <row r="264" spans="1:11" x14ac:dyDescent="0.35">
      <c r="A264" s="9">
        <v>263</v>
      </c>
      <c r="B264" s="10" t="s">
        <v>814</v>
      </c>
      <c r="C264" s="10" t="s">
        <v>815</v>
      </c>
      <c r="D264" s="11" t="s">
        <v>816</v>
      </c>
      <c r="E264" s="10" t="s">
        <v>37</v>
      </c>
      <c r="F264" s="1">
        <v>45834</v>
      </c>
      <c r="G264" s="1">
        <f>IFERROR(IF(Sheet1!$F264="","",Sheet1!$F264+365),"")</f>
        <v>46199</v>
      </c>
      <c r="H264" s="1">
        <f>IFERROR(IF(Sheet1!$F264="","",Sheet1!$F264+335),"")</f>
        <v>46169</v>
      </c>
      <c r="I264" s="1">
        <v>45820</v>
      </c>
      <c r="J264" s="1">
        <f>IFERROR(IF(Sheet1!$I264="","",Sheet1!$I264+365),"")</f>
        <v>46185</v>
      </c>
      <c r="K264" s="2">
        <f>IFERROR(IF(Sheet1!$I264="","",Sheet1!$I264+305),"")</f>
        <v>46125</v>
      </c>
    </row>
    <row r="265" spans="1:11" x14ac:dyDescent="0.35">
      <c r="A265" s="9">
        <v>264</v>
      </c>
      <c r="B265" s="10" t="s">
        <v>817</v>
      </c>
      <c r="C265" s="10" t="s">
        <v>818</v>
      </c>
      <c r="D265" s="11" t="s">
        <v>819</v>
      </c>
      <c r="E265" s="10" t="s">
        <v>37</v>
      </c>
      <c r="F265" s="1">
        <v>46003</v>
      </c>
      <c r="G265" s="1">
        <f>IFERROR(IF(Sheet1!$F265="","",Sheet1!$F265+365),"")</f>
        <v>46368</v>
      </c>
      <c r="H265" s="1">
        <f>IFERROR(IF(Sheet1!$F265="","",Sheet1!$F265+335),"")</f>
        <v>46338</v>
      </c>
      <c r="I265" s="1">
        <v>45993</v>
      </c>
      <c r="J265" s="1">
        <f>IFERROR(IF(Sheet1!$I265="","",Sheet1!$I265+365),"")</f>
        <v>46358</v>
      </c>
      <c r="K265" s="2">
        <f>IFERROR(IF(Sheet1!$I265="","",Sheet1!$I265+305),"")</f>
        <v>46298</v>
      </c>
    </row>
    <row r="266" spans="1:11" x14ac:dyDescent="0.35">
      <c r="A266" s="9">
        <v>265</v>
      </c>
      <c r="B266" s="12" t="s">
        <v>820</v>
      </c>
      <c r="C266" s="12" t="s">
        <v>821</v>
      </c>
      <c r="D266" s="12" t="s">
        <v>822</v>
      </c>
      <c r="E266" s="12" t="s">
        <v>22</v>
      </c>
      <c r="F266" s="14">
        <v>45992</v>
      </c>
      <c r="G266" s="1">
        <f>IFERROR(IF(Sheet1!$F266="","",Sheet1!$F266+365),"")</f>
        <v>46357</v>
      </c>
      <c r="H266" s="1">
        <f>IFERROR(IF(Sheet1!$F266="","",Sheet1!$F266+335),"")</f>
        <v>46327</v>
      </c>
      <c r="I266" s="14">
        <v>45916</v>
      </c>
      <c r="J266" s="1">
        <f>IFERROR(IF(Sheet1!$I266="","",Sheet1!$I266+365),"")</f>
        <v>46281</v>
      </c>
      <c r="K266" s="2">
        <f>IFERROR(IF(Sheet1!$I266="","",Sheet1!$I266+305),"")</f>
        <v>46221</v>
      </c>
    </row>
    <row r="267" spans="1:11" x14ac:dyDescent="0.35">
      <c r="A267" s="9">
        <v>266</v>
      </c>
      <c r="B267" s="10" t="s">
        <v>823</v>
      </c>
      <c r="C267" s="10" t="s">
        <v>824</v>
      </c>
      <c r="D267" s="11" t="s">
        <v>825</v>
      </c>
      <c r="E267" s="10" t="s">
        <v>18</v>
      </c>
      <c r="F267" s="1">
        <v>46036</v>
      </c>
      <c r="G267" s="1">
        <f>IFERROR(IF(Sheet1!$F267="","",Sheet1!$F267+365),"")</f>
        <v>46401</v>
      </c>
      <c r="H267" s="1">
        <f>IFERROR(IF(Sheet1!$F267="","",Sheet1!$F267+335),"")</f>
        <v>46371</v>
      </c>
      <c r="I267" s="1">
        <v>46037</v>
      </c>
      <c r="J267" s="1">
        <f>IFERROR(IF(Sheet1!$I267="","",Sheet1!$I267+365),"")</f>
        <v>46402</v>
      </c>
      <c r="K267" s="2">
        <f>IFERROR(IF(Sheet1!$I267="","",Sheet1!$I267+305),"")</f>
        <v>46342</v>
      </c>
    </row>
    <row r="268" spans="1:11" x14ac:dyDescent="0.35">
      <c r="A268" s="9">
        <v>267</v>
      </c>
      <c r="B268" s="10" t="s">
        <v>826</v>
      </c>
      <c r="C268" s="10" t="s">
        <v>827</v>
      </c>
      <c r="D268" s="11" t="s">
        <v>828</v>
      </c>
      <c r="E268" s="10" t="s">
        <v>37</v>
      </c>
      <c r="F268" s="1">
        <v>45929</v>
      </c>
      <c r="G268" s="1">
        <f>IFERROR(IF(Sheet1!$F268="","",Sheet1!$F268+365),"")</f>
        <v>46294</v>
      </c>
      <c r="H268" s="1">
        <f>IFERROR(IF(Sheet1!$F268="","",Sheet1!$F268+335),"")</f>
        <v>46264</v>
      </c>
      <c r="I268" s="1">
        <v>45929</v>
      </c>
      <c r="J268" s="1">
        <f>IFERROR(IF(Sheet1!$I268="","",Sheet1!$I268+365),"")</f>
        <v>46294</v>
      </c>
      <c r="K268" s="2">
        <f>IFERROR(IF(Sheet1!$I268="","",Sheet1!$I268+305),"")</f>
        <v>46234</v>
      </c>
    </row>
    <row r="269" spans="1:11" x14ac:dyDescent="0.35">
      <c r="A269" s="9">
        <v>268</v>
      </c>
      <c r="B269" s="10" t="s">
        <v>829</v>
      </c>
      <c r="C269" s="10" t="s">
        <v>830</v>
      </c>
      <c r="D269" s="11" t="s">
        <v>831</v>
      </c>
      <c r="E269" s="10" t="s">
        <v>37</v>
      </c>
      <c r="F269" s="1">
        <v>45993</v>
      </c>
      <c r="G269" s="1">
        <f>IFERROR(IF(Sheet1!$F269="","",Sheet1!$F269+365),"")</f>
        <v>46358</v>
      </c>
      <c r="H269" s="1">
        <f>IFERROR(IF(Sheet1!$F269="","",Sheet1!$F269+335),"")</f>
        <v>46328</v>
      </c>
      <c r="I269" s="1">
        <v>45976</v>
      </c>
      <c r="J269" s="1">
        <f>IFERROR(IF(Sheet1!$I269="","",Sheet1!$I269+365),"")</f>
        <v>46341</v>
      </c>
      <c r="K269" s="2">
        <f>IFERROR(IF(Sheet1!$I269="","",Sheet1!$I269+305),"")</f>
        <v>46281</v>
      </c>
    </row>
    <row r="270" spans="1:11" x14ac:dyDescent="0.35">
      <c r="A270" s="9">
        <v>269</v>
      </c>
      <c r="B270" s="10" t="s">
        <v>832</v>
      </c>
      <c r="C270" s="10" t="s">
        <v>833</v>
      </c>
      <c r="D270" s="11" t="s">
        <v>834</v>
      </c>
      <c r="E270" s="10" t="s">
        <v>88</v>
      </c>
      <c r="F270" s="1">
        <v>45979</v>
      </c>
      <c r="G270" s="1">
        <f>IFERROR(IF(Sheet1!$F270="","",Sheet1!$F270+365),"")</f>
        <v>46344</v>
      </c>
      <c r="H270" s="1">
        <f>IFERROR(IF(Sheet1!$F270="","",Sheet1!$F270+335),"")</f>
        <v>46314</v>
      </c>
      <c r="I270" s="1">
        <v>45989</v>
      </c>
      <c r="J270" s="1">
        <f>IFERROR(IF(Sheet1!$I270="","",Sheet1!$I270+365),"")</f>
        <v>46354</v>
      </c>
      <c r="K270" s="2">
        <f>IFERROR(IF(Sheet1!$I270="","",Sheet1!$I270+305),"")</f>
        <v>46294</v>
      </c>
    </row>
    <row r="271" spans="1:11" x14ac:dyDescent="0.35">
      <c r="A271" s="9">
        <v>270</v>
      </c>
      <c r="B271" s="12" t="s">
        <v>835</v>
      </c>
      <c r="C271" s="12" t="s">
        <v>836</v>
      </c>
      <c r="D271" s="12" t="s">
        <v>837</v>
      </c>
      <c r="E271" s="12" t="s">
        <v>22</v>
      </c>
      <c r="F271" s="14">
        <v>45979</v>
      </c>
      <c r="G271" s="1">
        <f>IFERROR(IF(Sheet1!$F271="","",Sheet1!$F271+365),"")</f>
        <v>46344</v>
      </c>
      <c r="H271" s="1">
        <f>IFERROR(IF(Sheet1!$F271="","",Sheet1!$F271+335),"")</f>
        <v>46314</v>
      </c>
      <c r="I271" s="14">
        <v>45972</v>
      </c>
      <c r="J271" s="1">
        <f>IFERROR(IF(Sheet1!$I271="","",Sheet1!$I271+365),"")</f>
        <v>46337</v>
      </c>
      <c r="K271" s="2">
        <f>IFERROR(IF(Sheet1!$I271="","",Sheet1!$I271+305),"")</f>
        <v>46277</v>
      </c>
    </row>
    <row r="272" spans="1:11" x14ac:dyDescent="0.35">
      <c r="A272" s="9">
        <v>271</v>
      </c>
      <c r="B272" s="10" t="s">
        <v>838</v>
      </c>
      <c r="C272" s="10" t="s">
        <v>839</v>
      </c>
      <c r="D272" s="11" t="s">
        <v>840</v>
      </c>
      <c r="E272" s="10" t="s">
        <v>14</v>
      </c>
      <c r="F272" s="1">
        <v>45980</v>
      </c>
      <c r="G272" s="1">
        <f>IFERROR(IF(Sheet1!$F272="","",Sheet1!$F272+365),"")</f>
        <v>46345</v>
      </c>
      <c r="H272" s="1">
        <f>IFERROR(IF(Sheet1!$F272="","",Sheet1!$F272+335),"")</f>
        <v>46315</v>
      </c>
      <c r="I272" s="1">
        <v>45903</v>
      </c>
      <c r="J272" s="1">
        <f>IFERROR(IF(Sheet1!$I272="","",Sheet1!$I272+365),"")</f>
        <v>46268</v>
      </c>
      <c r="K272" s="2">
        <f>IFERROR(IF(Sheet1!$I272="","",Sheet1!$I272+305),"")</f>
        <v>46208</v>
      </c>
    </row>
    <row r="273" spans="1:11" x14ac:dyDescent="0.35">
      <c r="A273" s="9">
        <v>272</v>
      </c>
      <c r="B273" s="10" t="s">
        <v>841</v>
      </c>
      <c r="C273" s="10" t="s">
        <v>842</v>
      </c>
      <c r="D273" s="11" t="s">
        <v>843</v>
      </c>
      <c r="E273" s="10" t="s">
        <v>63</v>
      </c>
      <c r="F273" s="1">
        <v>45993</v>
      </c>
      <c r="G273" s="1">
        <f>IFERROR(IF(Sheet1!$F273="","",Sheet1!$F273+365),"")</f>
        <v>46358</v>
      </c>
      <c r="H273" s="1">
        <f>IFERROR(IF(Sheet1!$F273="","",Sheet1!$F273+335),"")</f>
        <v>46328</v>
      </c>
      <c r="I273" s="1">
        <v>45997</v>
      </c>
      <c r="J273" s="1">
        <f>IFERROR(IF(Sheet1!$I273="","",Sheet1!$I273+365),"")</f>
        <v>46362</v>
      </c>
      <c r="K273" s="2">
        <f>IFERROR(IF(Sheet1!$I273="","",Sheet1!$I273+305),"")</f>
        <v>46302</v>
      </c>
    </row>
    <row r="274" spans="1:11" x14ac:dyDescent="0.35">
      <c r="A274" s="9">
        <v>273</v>
      </c>
      <c r="B274" s="10" t="s">
        <v>844</v>
      </c>
      <c r="C274" s="10" t="s">
        <v>845</v>
      </c>
      <c r="D274" s="11" t="s">
        <v>846</v>
      </c>
      <c r="E274" s="10" t="s">
        <v>88</v>
      </c>
      <c r="F274" s="1">
        <v>45979</v>
      </c>
      <c r="G274" s="1">
        <f>IFERROR(IF(Sheet1!$F274="","",Sheet1!$F274+365),"")</f>
        <v>46344</v>
      </c>
      <c r="H274" s="1">
        <f>IFERROR(IF(Sheet1!$F274="","",Sheet1!$F274+335),"")</f>
        <v>46314</v>
      </c>
      <c r="I274" s="1">
        <v>45994</v>
      </c>
      <c r="J274" s="1">
        <f>IFERROR(IF(Sheet1!$I274="","",Sheet1!$I274+365),"")</f>
        <v>46359</v>
      </c>
      <c r="K274" s="2">
        <f>IFERROR(IF(Sheet1!$I274="","",Sheet1!$I274+305),"")</f>
        <v>46299</v>
      </c>
    </row>
    <row r="275" spans="1:11" x14ac:dyDescent="0.35">
      <c r="A275" s="9">
        <v>274</v>
      </c>
      <c r="B275" s="10" t="s">
        <v>847</v>
      </c>
      <c r="C275" s="10" t="s">
        <v>848</v>
      </c>
      <c r="D275" s="11" t="s">
        <v>849</v>
      </c>
      <c r="E275" s="10" t="s">
        <v>14</v>
      </c>
      <c r="F275" s="1">
        <v>45978</v>
      </c>
      <c r="G275" s="1">
        <f>IFERROR(IF(Sheet1!$F275="","",Sheet1!$F275+365),"")</f>
        <v>46343</v>
      </c>
      <c r="H275" s="1">
        <f>IFERROR(IF(Sheet1!$F275="","",Sheet1!$F275+335),"")</f>
        <v>46313</v>
      </c>
      <c r="I275" s="1">
        <v>45911</v>
      </c>
      <c r="J275" s="1">
        <f>IFERROR(IF(Sheet1!$I275="","",Sheet1!$I275+365),"")</f>
        <v>46276</v>
      </c>
      <c r="K275" s="2">
        <f>IFERROR(IF(Sheet1!$I275="","",Sheet1!$I275+305),"")</f>
        <v>46216</v>
      </c>
    </row>
    <row r="276" spans="1:11" x14ac:dyDescent="0.35">
      <c r="A276" s="9">
        <v>275</v>
      </c>
      <c r="B276" s="10" t="s">
        <v>850</v>
      </c>
      <c r="C276" s="10" t="s">
        <v>851</v>
      </c>
      <c r="D276" s="11" t="s">
        <v>852</v>
      </c>
      <c r="E276" s="10" t="s">
        <v>37</v>
      </c>
      <c r="F276" s="1">
        <v>45930</v>
      </c>
      <c r="G276" s="1">
        <f>IFERROR(IF(Sheet1!$F276="","",Sheet1!$F276+365),"")</f>
        <v>46295</v>
      </c>
      <c r="H276" s="1">
        <f>IFERROR(IF(Sheet1!$F276="","",Sheet1!$F276+335),"")</f>
        <v>46265</v>
      </c>
      <c r="I276" s="1">
        <v>45930</v>
      </c>
      <c r="J276" s="1">
        <f>IFERROR(IF(Sheet1!$I276="","",Sheet1!$I276+365),"")</f>
        <v>46295</v>
      </c>
      <c r="K276" s="2">
        <f>IFERROR(IF(Sheet1!$I276="","",Sheet1!$I276+305),"")</f>
        <v>46235</v>
      </c>
    </row>
    <row r="277" spans="1:11" x14ac:dyDescent="0.35">
      <c r="A277" s="9">
        <v>276</v>
      </c>
      <c r="B277" s="10" t="s">
        <v>853</v>
      </c>
      <c r="C277" s="10" t="s">
        <v>854</v>
      </c>
      <c r="D277" s="11" t="s">
        <v>855</v>
      </c>
      <c r="E277" s="10" t="s">
        <v>14</v>
      </c>
      <c r="F277" s="1">
        <v>45986</v>
      </c>
      <c r="G277" s="1">
        <f>IFERROR(IF(Sheet1!$F277="","",Sheet1!$F277+365),"")</f>
        <v>46351</v>
      </c>
      <c r="H277" s="1">
        <f>IFERROR(IF(Sheet1!$F277="","",Sheet1!$F277+335),"")</f>
        <v>46321</v>
      </c>
      <c r="I277" s="1">
        <v>45958</v>
      </c>
      <c r="J277" s="1">
        <f>IFERROR(IF(Sheet1!$I277="","",Sheet1!$I277+365),"")</f>
        <v>46323</v>
      </c>
      <c r="K277" s="2">
        <f>IFERROR(IF(Sheet1!$I277="","",Sheet1!$I277+305),"")</f>
        <v>46263</v>
      </c>
    </row>
    <row r="278" spans="1:11" x14ac:dyDescent="0.35">
      <c r="A278" s="9">
        <v>277</v>
      </c>
      <c r="B278" s="10" t="s">
        <v>856</v>
      </c>
      <c r="C278" s="10" t="s">
        <v>857</v>
      </c>
      <c r="D278" s="11" t="s">
        <v>858</v>
      </c>
      <c r="E278" s="10" t="s">
        <v>14</v>
      </c>
      <c r="F278" s="1">
        <v>45979</v>
      </c>
      <c r="G278" s="1">
        <f>IFERROR(IF(Sheet1!$F278="","",Sheet1!$F278+365),"")</f>
        <v>46344</v>
      </c>
      <c r="H278" s="1">
        <f>IFERROR(IF(Sheet1!$F278="","",Sheet1!$F278+335),"")</f>
        <v>46314</v>
      </c>
      <c r="I278" s="1">
        <v>45905</v>
      </c>
      <c r="J278" s="1">
        <f>IFERROR(IF(Sheet1!$I278="","",Sheet1!$I278+365),"")</f>
        <v>46270</v>
      </c>
      <c r="K278" s="2">
        <f>IFERROR(IF(Sheet1!$I278="","",Sheet1!$I278+305),"")</f>
        <v>46210</v>
      </c>
    </row>
    <row r="279" spans="1:11" x14ac:dyDescent="0.35">
      <c r="A279" s="9">
        <v>278</v>
      </c>
      <c r="B279" s="12" t="s">
        <v>859</v>
      </c>
      <c r="C279" s="12" t="s">
        <v>860</v>
      </c>
      <c r="D279" s="13" t="s">
        <v>861</v>
      </c>
      <c r="E279" s="10" t="s">
        <v>18</v>
      </c>
      <c r="F279" s="14">
        <v>45980</v>
      </c>
      <c r="G279" s="1">
        <f>IFERROR(IF(Sheet1!$F279="","",Sheet1!$F279+365),"")</f>
        <v>46345</v>
      </c>
      <c r="H279" s="1">
        <f>IFERROR(IF(Sheet1!$F279="","",Sheet1!$F279+335),"")</f>
        <v>46315</v>
      </c>
      <c r="I279" s="14">
        <v>45959</v>
      </c>
      <c r="J279" s="1">
        <f>IFERROR(IF(Sheet1!$I279="","",Sheet1!$I279+365),"")</f>
        <v>46324</v>
      </c>
      <c r="K279" s="2">
        <f>IFERROR(IF(Sheet1!$I279="","",Sheet1!$I279+305),"")</f>
        <v>46264</v>
      </c>
    </row>
    <row r="280" spans="1:11" x14ac:dyDescent="0.35">
      <c r="A280" s="9">
        <v>279</v>
      </c>
      <c r="B280" s="10" t="s">
        <v>862</v>
      </c>
      <c r="C280" s="10" t="s">
        <v>863</v>
      </c>
      <c r="D280" s="11" t="s">
        <v>864</v>
      </c>
      <c r="E280" s="10" t="s">
        <v>14</v>
      </c>
      <c r="F280" s="1">
        <v>45993</v>
      </c>
      <c r="G280" s="1">
        <f>IFERROR(IF(Sheet1!$F280="","",Sheet1!$F280+365),"")</f>
        <v>46358</v>
      </c>
      <c r="H280" s="1">
        <f>IFERROR(IF(Sheet1!$F280="","",Sheet1!$F280+335),"")</f>
        <v>46328</v>
      </c>
      <c r="I280" s="1">
        <v>45929</v>
      </c>
      <c r="J280" s="1">
        <f>IFERROR(IF(Sheet1!$I280="","",Sheet1!$I280+365),"")</f>
        <v>46294</v>
      </c>
      <c r="K280" s="2">
        <f>IFERROR(IF(Sheet1!$I280="","",Sheet1!$I280+305),"")</f>
        <v>46234</v>
      </c>
    </row>
    <row r="281" spans="1:11" x14ac:dyDescent="0.35">
      <c r="A281" s="9">
        <v>280</v>
      </c>
      <c r="B281" s="12" t="s">
        <v>865</v>
      </c>
      <c r="C281" s="12" t="s">
        <v>866</v>
      </c>
      <c r="D281" s="13" t="s">
        <v>867</v>
      </c>
      <c r="E281" s="12" t="s">
        <v>22</v>
      </c>
      <c r="F281" s="14">
        <v>45990</v>
      </c>
      <c r="G281" s="1">
        <f>IFERROR(IF(Sheet1!$F281="","",Sheet1!$F281+365),"")</f>
        <v>46355</v>
      </c>
      <c r="H281" s="1">
        <f>IFERROR(IF(Sheet1!$F281="","",Sheet1!$F281+335),"")</f>
        <v>46325</v>
      </c>
      <c r="I281" s="14">
        <v>45974</v>
      </c>
      <c r="J281" s="1">
        <f>IFERROR(IF(Sheet1!$I281="","",Sheet1!$I281+365),"")</f>
        <v>46339</v>
      </c>
      <c r="K281" s="2">
        <f>IFERROR(IF(Sheet1!$I281="","",Sheet1!$I281+305),"")</f>
        <v>46279</v>
      </c>
    </row>
    <row r="282" spans="1:11" x14ac:dyDescent="0.35">
      <c r="A282" s="9">
        <v>281</v>
      </c>
      <c r="B282" s="12" t="s">
        <v>868</v>
      </c>
      <c r="C282" s="12" t="s">
        <v>869</v>
      </c>
      <c r="D282" s="13" t="s">
        <v>870</v>
      </c>
      <c r="E282" s="12" t="s">
        <v>376</v>
      </c>
      <c r="F282" s="14">
        <v>45979</v>
      </c>
      <c r="G282" s="1">
        <f>IFERROR(IF(Sheet1!$F282="","",Sheet1!$F282+365),"")</f>
        <v>46344</v>
      </c>
      <c r="H282" s="1">
        <f>IFERROR(IF(Sheet1!$F282="","",Sheet1!$F282+335),"")</f>
        <v>46314</v>
      </c>
      <c r="I282" s="14">
        <v>45901</v>
      </c>
      <c r="J282" s="1">
        <f>IFERROR(IF(Sheet1!$I282="","",Sheet1!$I282+365),"")</f>
        <v>46266</v>
      </c>
      <c r="K282" s="2">
        <f>IFERROR(IF(Sheet1!$I282="","",Sheet1!$I282+305),"")</f>
        <v>46206</v>
      </c>
    </row>
    <row r="283" spans="1:11" x14ac:dyDescent="0.35">
      <c r="A283" s="9">
        <v>282</v>
      </c>
      <c r="B283" s="10" t="s">
        <v>871</v>
      </c>
      <c r="C283" s="10" t="s">
        <v>872</v>
      </c>
      <c r="D283" s="11" t="s">
        <v>873</v>
      </c>
      <c r="E283" s="10" t="s">
        <v>14</v>
      </c>
      <c r="F283" s="1">
        <v>45793</v>
      </c>
      <c r="G283" s="1">
        <f>IFERROR(IF(Sheet1!$F283="","",Sheet1!$F283+365),"")</f>
        <v>46158</v>
      </c>
      <c r="H283" s="1">
        <f>IFERROR(IF(Sheet1!$F283="","",Sheet1!$F283+335),"")</f>
        <v>46128</v>
      </c>
      <c r="I283" s="1">
        <v>45791</v>
      </c>
      <c r="J283" s="1">
        <f>IFERROR(IF(Sheet1!$I283="","",Sheet1!$I283+365),"")</f>
        <v>46156</v>
      </c>
      <c r="K283" s="2">
        <f>IFERROR(IF(Sheet1!$I283="","",Sheet1!$I283+305),"")</f>
        <v>46096</v>
      </c>
    </row>
    <row r="284" spans="1:11" x14ac:dyDescent="0.35">
      <c r="A284" s="9">
        <v>283</v>
      </c>
      <c r="B284" s="12" t="s">
        <v>874</v>
      </c>
      <c r="C284" s="12" t="s">
        <v>875</v>
      </c>
      <c r="D284" s="13" t="s">
        <v>876</v>
      </c>
      <c r="E284" s="12" t="s">
        <v>22</v>
      </c>
      <c r="F284" s="14">
        <v>45981</v>
      </c>
      <c r="G284" s="1">
        <f>IFERROR(IF(Sheet1!$F284="","",Sheet1!$F284+365),"")</f>
        <v>46346</v>
      </c>
      <c r="H284" s="1">
        <f>IFERROR(IF(Sheet1!$F284="","",Sheet1!$F284+335),"")</f>
        <v>46316</v>
      </c>
      <c r="I284" s="14">
        <v>45910</v>
      </c>
      <c r="J284" s="1">
        <f>IFERROR(IF(Sheet1!$I284="","",Sheet1!$I284+365),"")</f>
        <v>46275</v>
      </c>
      <c r="K284" s="2">
        <f>IFERROR(IF(Sheet1!$I284="","",Sheet1!$I284+305),"")</f>
        <v>46215</v>
      </c>
    </row>
    <row r="285" spans="1:11" x14ac:dyDescent="0.35">
      <c r="A285" s="9">
        <v>284</v>
      </c>
      <c r="B285" s="10" t="s">
        <v>877</v>
      </c>
      <c r="C285" s="10" t="s">
        <v>878</v>
      </c>
      <c r="D285" s="11" t="s">
        <v>879</v>
      </c>
      <c r="E285" s="10" t="s">
        <v>56</v>
      </c>
      <c r="F285" s="1">
        <v>45806</v>
      </c>
      <c r="G285" s="1">
        <f>IFERROR(IF(Sheet1!$F285="","",Sheet1!$F285+365),"")</f>
        <v>46171</v>
      </c>
      <c r="H285" s="1">
        <f>IFERROR(IF(Sheet1!$F285="","",Sheet1!$F285+335),"")</f>
        <v>46141</v>
      </c>
      <c r="I285" s="1">
        <v>45804</v>
      </c>
      <c r="J285" s="1">
        <f>IFERROR(IF(Sheet1!$I285="","",Sheet1!$I285+365),"")</f>
        <v>46169</v>
      </c>
      <c r="K285" s="2">
        <f>IFERROR(IF(Sheet1!$I285="","",Sheet1!$I285+305),"")</f>
        <v>46109</v>
      </c>
    </row>
    <row r="286" spans="1:11" x14ac:dyDescent="0.35">
      <c r="A286" s="9">
        <v>285</v>
      </c>
      <c r="B286" s="10" t="s">
        <v>880</v>
      </c>
      <c r="C286" s="10" t="s">
        <v>881</v>
      </c>
      <c r="D286" s="11" t="s">
        <v>882</v>
      </c>
      <c r="E286" s="10" t="s">
        <v>26</v>
      </c>
      <c r="F286" s="1">
        <v>45979</v>
      </c>
      <c r="G286" s="1">
        <f>IFERROR(IF(Sheet1!$F286="","",Sheet1!$F286+365),"")</f>
        <v>46344</v>
      </c>
      <c r="H286" s="1">
        <f>IFERROR(IF(Sheet1!$F286="","",Sheet1!$F286+335),"")</f>
        <v>46314</v>
      </c>
      <c r="I286" s="1">
        <v>45918</v>
      </c>
      <c r="J286" s="1">
        <f>IFERROR(IF(Sheet1!$I286="","",Sheet1!$I286+365),"")</f>
        <v>46283</v>
      </c>
      <c r="K286" s="2">
        <f>IFERROR(IF(Sheet1!$I286="","",Sheet1!$I286+305),"")</f>
        <v>46223</v>
      </c>
    </row>
    <row r="287" spans="1:11" x14ac:dyDescent="0.35">
      <c r="A287" s="9">
        <v>286</v>
      </c>
      <c r="B287" s="12" t="s">
        <v>883</v>
      </c>
      <c r="C287" s="12" t="s">
        <v>884</v>
      </c>
      <c r="D287" s="12" t="s">
        <v>885</v>
      </c>
      <c r="E287" s="12" t="s">
        <v>22</v>
      </c>
      <c r="F287" s="14">
        <v>45994</v>
      </c>
      <c r="G287" s="1">
        <f>IFERROR(IF(Sheet1!$F287="","",Sheet1!$F287+365),"")</f>
        <v>46359</v>
      </c>
      <c r="H287" s="1">
        <f>IFERROR(IF(Sheet1!$F287="","",Sheet1!$F287+335),"")</f>
        <v>46329</v>
      </c>
      <c r="I287" s="14">
        <v>45994</v>
      </c>
      <c r="J287" s="1">
        <f>IFERROR(IF(Sheet1!$I287="","",Sheet1!$I287+365),"")</f>
        <v>46359</v>
      </c>
      <c r="K287" s="2">
        <f>IFERROR(IF(Sheet1!$I287="","",Sheet1!$I287+305),"")</f>
        <v>46299</v>
      </c>
    </row>
    <row r="288" spans="1:11" x14ac:dyDescent="0.35">
      <c r="A288" s="9">
        <v>287</v>
      </c>
      <c r="B288" s="10" t="s">
        <v>886</v>
      </c>
      <c r="C288" s="10" t="s">
        <v>887</v>
      </c>
      <c r="D288" s="11" t="s">
        <v>888</v>
      </c>
      <c r="E288" s="10" t="s">
        <v>14</v>
      </c>
      <c r="F288" s="1">
        <v>45986</v>
      </c>
      <c r="G288" s="1">
        <f>IFERROR(IF(Sheet1!$F288="","",Sheet1!$F288+365),"")</f>
        <v>46351</v>
      </c>
      <c r="H288" s="1">
        <f>IFERROR(IF(Sheet1!$F288="","",Sheet1!$F288+335),"")</f>
        <v>46321</v>
      </c>
      <c r="I288" s="1">
        <v>45596</v>
      </c>
      <c r="J288" s="1">
        <f>IFERROR(IF(Sheet1!$I288="","",Sheet1!$I288+365),"")</f>
        <v>45961</v>
      </c>
      <c r="K288" s="2">
        <f>IFERROR(IF(Sheet1!$I288="","",Sheet1!$I288+305),"")</f>
        <v>45901</v>
      </c>
    </row>
    <row r="289" spans="1:11" x14ac:dyDescent="0.35">
      <c r="A289" s="9">
        <v>288</v>
      </c>
      <c r="B289" s="10" t="s">
        <v>889</v>
      </c>
      <c r="C289" s="10" t="s">
        <v>890</v>
      </c>
      <c r="D289" s="11" t="s">
        <v>891</v>
      </c>
      <c r="E289" s="10" t="s">
        <v>14</v>
      </c>
      <c r="F289" s="1">
        <v>45979</v>
      </c>
      <c r="G289" s="1">
        <f>IFERROR(IF(Sheet1!$F289="","",Sheet1!$F289+365),"")</f>
        <v>46344</v>
      </c>
      <c r="H289" s="1">
        <f>IFERROR(IF(Sheet1!$F289="","",Sheet1!$F289+335),"")</f>
        <v>46314</v>
      </c>
      <c r="I289" s="1">
        <v>45971</v>
      </c>
      <c r="J289" s="1">
        <f>IFERROR(IF(Sheet1!$I289="","",Sheet1!$I289+365),"")</f>
        <v>46336</v>
      </c>
      <c r="K289" s="2">
        <f>IFERROR(IF(Sheet1!$I289="","",Sheet1!$I289+305),"")</f>
        <v>46276</v>
      </c>
    </row>
    <row r="290" spans="1:11" x14ac:dyDescent="0.35">
      <c r="A290" s="9">
        <v>289</v>
      </c>
      <c r="B290" s="10" t="s">
        <v>892</v>
      </c>
      <c r="C290" s="10" t="s">
        <v>893</v>
      </c>
      <c r="D290" s="10" t="s">
        <v>894</v>
      </c>
      <c r="E290" s="10" t="s">
        <v>172</v>
      </c>
      <c r="F290" s="1"/>
      <c r="G290" s="1" t="str">
        <f>IFERROR(IF(Sheet1!$F290="","",Sheet1!$F290+365),"")</f>
        <v/>
      </c>
      <c r="H290" s="1" t="str">
        <f>IFERROR(IF(Sheet1!$F290="","",Sheet1!$F290+335),"")</f>
        <v/>
      </c>
      <c r="I290" s="1"/>
      <c r="J290" s="1" t="str">
        <f>IFERROR(IF(Sheet1!$I290="","",Sheet1!$I290+365),"")</f>
        <v/>
      </c>
      <c r="K290" s="2" t="str">
        <f>IFERROR(IF(Sheet1!$I290="","",Sheet1!$I290+305),"")</f>
        <v/>
      </c>
    </row>
    <row r="291" spans="1:11" x14ac:dyDescent="0.35">
      <c r="A291" s="9">
        <v>290</v>
      </c>
      <c r="B291" s="10" t="s">
        <v>895</v>
      </c>
      <c r="C291" s="10" t="s">
        <v>896</v>
      </c>
      <c r="D291" s="11" t="s">
        <v>897</v>
      </c>
      <c r="E291" s="10" t="s">
        <v>88</v>
      </c>
      <c r="F291" s="1">
        <v>45978</v>
      </c>
      <c r="G291" s="1">
        <f>IFERROR(IF(Sheet1!$F291="","",Sheet1!$F291+365),"")</f>
        <v>46343</v>
      </c>
      <c r="H291" s="1">
        <f>IFERROR(IF(Sheet1!$F291="","",Sheet1!$F291+335),"")</f>
        <v>46313</v>
      </c>
      <c r="I291" s="1">
        <v>45991</v>
      </c>
      <c r="J291" s="1">
        <f>IFERROR(IF(Sheet1!$I291="","",Sheet1!$I291+365),"")</f>
        <v>46356</v>
      </c>
      <c r="K291" s="2">
        <f>IFERROR(IF(Sheet1!$I291="","",Sheet1!$I291+305),"")</f>
        <v>46296</v>
      </c>
    </row>
    <row r="292" spans="1:11" x14ac:dyDescent="0.35">
      <c r="A292" s="9">
        <v>291</v>
      </c>
      <c r="B292" s="10" t="s">
        <v>898</v>
      </c>
      <c r="C292" s="10" t="s">
        <v>899</v>
      </c>
      <c r="D292" s="11" t="s">
        <v>900</v>
      </c>
      <c r="E292" s="10" t="s">
        <v>37</v>
      </c>
      <c r="F292" s="1">
        <v>45984</v>
      </c>
      <c r="G292" s="1">
        <f>IFERROR(IF(Sheet1!$F292="","",Sheet1!$F292+365),"")</f>
        <v>46349</v>
      </c>
      <c r="H292" s="1">
        <f>IFERROR(IF(Sheet1!$F292="","",Sheet1!$F292+335),"")</f>
        <v>46319</v>
      </c>
      <c r="I292" s="1">
        <v>45948</v>
      </c>
      <c r="J292" s="1">
        <f>IFERROR(IF(Sheet1!$I292="","",Sheet1!$I292+365),"")</f>
        <v>46313</v>
      </c>
      <c r="K292" s="2">
        <f>IFERROR(IF(Sheet1!$I292="","",Sheet1!$I292+305),"")</f>
        <v>46253</v>
      </c>
    </row>
    <row r="293" spans="1:11" x14ac:dyDescent="0.35">
      <c r="A293" s="9">
        <v>292</v>
      </c>
      <c r="B293" s="10" t="s">
        <v>901</v>
      </c>
      <c r="C293" s="10" t="s">
        <v>902</v>
      </c>
      <c r="D293" s="11" t="s">
        <v>903</v>
      </c>
      <c r="E293" s="10" t="s">
        <v>14</v>
      </c>
      <c r="F293" s="1">
        <v>45990</v>
      </c>
      <c r="G293" s="1">
        <f>IFERROR(IF(Sheet1!$F293="","",Sheet1!$F293+365),"")</f>
        <v>46355</v>
      </c>
      <c r="H293" s="1">
        <f>IFERROR(IF(Sheet1!$F293="","",Sheet1!$F293+335),"")</f>
        <v>46325</v>
      </c>
      <c r="I293" s="1">
        <v>45910</v>
      </c>
      <c r="J293" s="1">
        <f>IFERROR(IF(Sheet1!$I293="","",Sheet1!$I293+365),"")</f>
        <v>46275</v>
      </c>
      <c r="K293" s="2">
        <f>IFERROR(IF(Sheet1!$I293="","",Sheet1!$I293+305),"")</f>
        <v>46215</v>
      </c>
    </row>
    <row r="294" spans="1:11" x14ac:dyDescent="0.35">
      <c r="A294" s="9">
        <v>293</v>
      </c>
      <c r="B294" s="10" t="s">
        <v>904</v>
      </c>
      <c r="C294" s="10" t="s">
        <v>905</v>
      </c>
      <c r="D294" s="11" t="s">
        <v>906</v>
      </c>
      <c r="E294" s="10" t="s">
        <v>14</v>
      </c>
      <c r="F294" s="1">
        <v>45601</v>
      </c>
      <c r="G294" s="1">
        <f>IFERROR(IF(Sheet1!$F294="","",Sheet1!$F294+365),"")</f>
        <v>45966</v>
      </c>
      <c r="H294" s="1">
        <f>IFERROR(IF(Sheet1!$F294="","",Sheet1!$F294+335),"")</f>
        <v>45936</v>
      </c>
      <c r="I294" s="1">
        <v>45909</v>
      </c>
      <c r="J294" s="1">
        <f>IFERROR(IF(Sheet1!$I294="","",Sheet1!$I294+365),"")</f>
        <v>46274</v>
      </c>
      <c r="K294" s="2">
        <f>IFERROR(IF(Sheet1!$I294="","",Sheet1!$I294+305),"")</f>
        <v>46214</v>
      </c>
    </row>
    <row r="295" spans="1:11" x14ac:dyDescent="0.35">
      <c r="A295" s="9">
        <v>294</v>
      </c>
      <c r="B295" s="10" t="s">
        <v>907</v>
      </c>
      <c r="C295" s="10" t="s">
        <v>908</v>
      </c>
      <c r="D295" s="11" t="s">
        <v>909</v>
      </c>
      <c r="E295" s="10" t="s">
        <v>18</v>
      </c>
      <c r="F295" s="1">
        <v>45978</v>
      </c>
      <c r="G295" s="1">
        <f>IFERROR(IF(Sheet1!$F295="","",Sheet1!$F295+365),"")</f>
        <v>46343</v>
      </c>
      <c r="H295" s="1">
        <f>IFERROR(IF(Sheet1!$F295="","",Sheet1!$F295+335),"")</f>
        <v>46313</v>
      </c>
      <c r="I295" s="1">
        <v>45919</v>
      </c>
      <c r="J295" s="1">
        <f>IFERROR(IF(Sheet1!$I295="","",Sheet1!$I295+365),"")</f>
        <v>46284</v>
      </c>
      <c r="K295" s="2">
        <f>IFERROR(IF(Sheet1!$I295="","",Sheet1!$I295+305),"")</f>
        <v>46224</v>
      </c>
    </row>
    <row r="296" spans="1:11" x14ac:dyDescent="0.35">
      <c r="A296" s="9">
        <v>295</v>
      </c>
      <c r="B296" s="10" t="s">
        <v>910</v>
      </c>
      <c r="C296" s="10" t="s">
        <v>911</v>
      </c>
      <c r="D296" s="11" t="s">
        <v>912</v>
      </c>
      <c r="E296" s="10" t="s">
        <v>107</v>
      </c>
      <c r="F296" s="1">
        <v>45986</v>
      </c>
      <c r="G296" s="1">
        <f>IFERROR(IF(Sheet1!$F296="","",Sheet1!$F296+365),"")</f>
        <v>46351</v>
      </c>
      <c r="H296" s="1">
        <f>IFERROR(IF(Sheet1!$F296="","",Sheet1!$F296+335),"")</f>
        <v>46321</v>
      </c>
      <c r="I296" s="1">
        <v>45918</v>
      </c>
      <c r="J296" s="1">
        <f>IFERROR(IF(Sheet1!$I296="","",Sheet1!$I296+365),"")</f>
        <v>46283</v>
      </c>
      <c r="K296" s="2">
        <f>IFERROR(IF(Sheet1!$I296="","",Sheet1!$I296+305),"")</f>
        <v>46223</v>
      </c>
    </row>
    <row r="297" spans="1:11" x14ac:dyDescent="0.35">
      <c r="A297" s="9">
        <v>296</v>
      </c>
      <c r="B297" s="10" t="s">
        <v>913</v>
      </c>
      <c r="C297" s="10" t="s">
        <v>914</v>
      </c>
      <c r="D297" s="11" t="s">
        <v>915</v>
      </c>
      <c r="E297" s="10" t="s">
        <v>37</v>
      </c>
      <c r="F297" s="1">
        <v>45981</v>
      </c>
      <c r="G297" s="1">
        <f>IFERROR(IF(Sheet1!$F297="","",Sheet1!$F297+365),"")</f>
        <v>46346</v>
      </c>
      <c r="H297" s="1">
        <f>IFERROR(IF(Sheet1!$F297="","",Sheet1!$F297+335),"")</f>
        <v>46316</v>
      </c>
      <c r="I297" s="1">
        <v>45967</v>
      </c>
      <c r="J297" s="1">
        <f>IFERROR(IF(Sheet1!$I297="","",Sheet1!$I297+365),"")</f>
        <v>46332</v>
      </c>
      <c r="K297" s="2">
        <f>IFERROR(IF(Sheet1!$I297="","",Sheet1!$I297+305),"")</f>
        <v>46272</v>
      </c>
    </row>
    <row r="298" spans="1:11" x14ac:dyDescent="0.35">
      <c r="A298" s="9">
        <v>297</v>
      </c>
      <c r="B298" s="10" t="s">
        <v>916</v>
      </c>
      <c r="C298" s="10" t="s">
        <v>917</v>
      </c>
      <c r="D298" s="11" t="s">
        <v>918</v>
      </c>
      <c r="E298" s="10" t="s">
        <v>37</v>
      </c>
      <c r="F298" s="1">
        <v>45929</v>
      </c>
      <c r="G298" s="1">
        <f>IFERROR(IF(Sheet1!$F298="","",Sheet1!$F298+365),"")</f>
        <v>46294</v>
      </c>
      <c r="H298" s="1">
        <f>IFERROR(IF(Sheet1!$F298="","",Sheet1!$F298+335),"")</f>
        <v>46264</v>
      </c>
      <c r="I298" s="1">
        <v>45929</v>
      </c>
      <c r="J298" s="1">
        <f>IFERROR(IF(Sheet1!$I298="","",Sheet1!$I298+365),"")</f>
        <v>46294</v>
      </c>
      <c r="K298" s="2">
        <f>IFERROR(IF(Sheet1!$I298="","",Sheet1!$I298+305),"")</f>
        <v>46234</v>
      </c>
    </row>
    <row r="299" spans="1:11" x14ac:dyDescent="0.35">
      <c r="A299" s="9">
        <v>298</v>
      </c>
      <c r="B299" s="10" t="s">
        <v>919</v>
      </c>
      <c r="C299" s="10" t="s">
        <v>920</v>
      </c>
      <c r="D299" s="11" t="s">
        <v>921</v>
      </c>
      <c r="E299" s="10" t="s">
        <v>107</v>
      </c>
      <c r="F299" s="1">
        <v>45988</v>
      </c>
      <c r="G299" s="1">
        <f>IFERROR(IF(Sheet1!$F299="","",Sheet1!$F299+365),"")</f>
        <v>46353</v>
      </c>
      <c r="H299" s="1">
        <f>IFERROR(IF(Sheet1!$F299="","",Sheet1!$F299+335),"")</f>
        <v>46323</v>
      </c>
      <c r="I299" s="1">
        <v>45938</v>
      </c>
      <c r="J299" s="1">
        <f>IFERROR(IF(Sheet1!$I299="","",Sheet1!$I299+365),"")</f>
        <v>46303</v>
      </c>
      <c r="K299" s="2">
        <f>IFERROR(IF(Sheet1!$I299="","",Sheet1!$I299+305),"")</f>
        <v>46243</v>
      </c>
    </row>
    <row r="300" spans="1:11" x14ac:dyDescent="0.35">
      <c r="A300" s="9">
        <v>299</v>
      </c>
      <c r="B300" s="10" t="s">
        <v>922</v>
      </c>
      <c r="C300" s="10" t="s">
        <v>923</v>
      </c>
      <c r="D300" s="11" t="s">
        <v>924</v>
      </c>
      <c r="E300" s="10" t="s">
        <v>37</v>
      </c>
      <c r="F300" s="1">
        <v>45980</v>
      </c>
      <c r="G300" s="1">
        <f>IFERROR(IF(Sheet1!$F300="","",Sheet1!$F300+365),"")</f>
        <v>46345</v>
      </c>
      <c r="H300" s="1">
        <f>IFERROR(IF(Sheet1!$F300="","",Sheet1!$F300+335),"")</f>
        <v>46315</v>
      </c>
      <c r="I300" s="1">
        <v>45976</v>
      </c>
      <c r="J300" s="1">
        <f>IFERROR(IF(Sheet1!$I300="","",Sheet1!$I300+365),"")</f>
        <v>46341</v>
      </c>
      <c r="K300" s="2">
        <f>IFERROR(IF(Sheet1!$I300="","",Sheet1!$I300+305),"")</f>
        <v>46281</v>
      </c>
    </row>
    <row r="301" spans="1:11" x14ac:dyDescent="0.35">
      <c r="A301" s="9">
        <v>300</v>
      </c>
      <c r="B301" s="10" t="s">
        <v>925</v>
      </c>
      <c r="C301" s="10" t="s">
        <v>926</v>
      </c>
      <c r="D301" s="11" t="s">
        <v>927</v>
      </c>
      <c r="E301" s="10" t="s">
        <v>14</v>
      </c>
      <c r="F301" s="1">
        <v>45978</v>
      </c>
      <c r="G301" s="1">
        <f>IFERROR(IF(Sheet1!$F301="","",Sheet1!$F301+365),"")</f>
        <v>46343</v>
      </c>
      <c r="H301" s="1">
        <f>IFERROR(IF(Sheet1!$F301="","",Sheet1!$F301+335),"")</f>
        <v>46313</v>
      </c>
      <c r="I301" s="1">
        <v>45940</v>
      </c>
      <c r="J301" s="1">
        <f>IFERROR(IF(Sheet1!$I301="","",Sheet1!$I301+365),"")</f>
        <v>46305</v>
      </c>
      <c r="K301" s="2">
        <f>IFERROR(IF(Sheet1!$I301="","",Sheet1!$I301+305),"")</f>
        <v>46245</v>
      </c>
    </row>
    <row r="302" spans="1:11" x14ac:dyDescent="0.35">
      <c r="A302" s="9">
        <v>301</v>
      </c>
      <c r="B302" s="12" t="s">
        <v>928</v>
      </c>
      <c r="C302" s="12" t="s">
        <v>929</v>
      </c>
      <c r="D302" s="13" t="s">
        <v>930</v>
      </c>
      <c r="E302" s="12" t="s">
        <v>22</v>
      </c>
      <c r="F302" s="14">
        <v>45979</v>
      </c>
      <c r="G302" s="1">
        <f>IFERROR(IF(Sheet1!$F302="","",Sheet1!$F302+365),"")</f>
        <v>46344</v>
      </c>
      <c r="H302" s="1">
        <f>IFERROR(IF(Sheet1!$F302="","",Sheet1!$F302+335),"")</f>
        <v>46314</v>
      </c>
      <c r="I302" s="14">
        <v>45986</v>
      </c>
      <c r="J302" s="1">
        <f>IFERROR(IF(Sheet1!$I302="","",Sheet1!$I302+365),"")</f>
        <v>46351</v>
      </c>
      <c r="K302" s="2">
        <f>IFERROR(IF(Sheet1!$I302="","",Sheet1!$I302+305),"")</f>
        <v>46291</v>
      </c>
    </row>
    <row r="303" spans="1:11" x14ac:dyDescent="0.35">
      <c r="A303" s="9">
        <v>302</v>
      </c>
      <c r="B303" s="12" t="s">
        <v>931</v>
      </c>
      <c r="C303" s="12" t="s">
        <v>932</v>
      </c>
      <c r="D303" s="13" t="s">
        <v>933</v>
      </c>
      <c r="E303" s="12" t="s">
        <v>22</v>
      </c>
      <c r="F303" s="14">
        <v>45993</v>
      </c>
      <c r="G303" s="1">
        <f>IFERROR(IF(Sheet1!$F303="","",Sheet1!$F303+365),"")</f>
        <v>46358</v>
      </c>
      <c r="H303" s="1">
        <f>IFERROR(IF(Sheet1!$F303="","",Sheet1!$F303+335),"")</f>
        <v>46328</v>
      </c>
      <c r="I303" s="14">
        <v>45914</v>
      </c>
      <c r="J303" s="1">
        <f>IFERROR(IF(Sheet1!$I303="","",Sheet1!$I303+365),"")</f>
        <v>46279</v>
      </c>
      <c r="K303" s="2">
        <f>IFERROR(IF(Sheet1!$I303="","",Sheet1!$I303+305),"")</f>
        <v>46219</v>
      </c>
    </row>
    <row r="304" spans="1:11" x14ac:dyDescent="0.35">
      <c r="A304" s="9">
        <v>303</v>
      </c>
      <c r="B304" s="10" t="s">
        <v>934</v>
      </c>
      <c r="C304" s="10" t="s">
        <v>935</v>
      </c>
      <c r="D304" s="11" t="s">
        <v>936</v>
      </c>
      <c r="E304" s="10" t="s">
        <v>18</v>
      </c>
      <c r="F304" s="1">
        <v>45978</v>
      </c>
      <c r="G304" s="1">
        <f>IFERROR(IF(Sheet1!$F304="","",Sheet1!$F304+365),"")</f>
        <v>46343</v>
      </c>
      <c r="H304" s="1">
        <f>IFERROR(IF(Sheet1!$F304="","",Sheet1!$F304+335),"")</f>
        <v>46313</v>
      </c>
      <c r="I304" s="1">
        <v>45938</v>
      </c>
      <c r="J304" s="1">
        <f>IFERROR(IF(Sheet1!$I304="","",Sheet1!$I304+365),"")</f>
        <v>46303</v>
      </c>
      <c r="K304" s="2">
        <f>IFERROR(IF(Sheet1!$I304="","",Sheet1!$I304+305),"")</f>
        <v>46243</v>
      </c>
    </row>
    <row r="305" spans="1:11" x14ac:dyDescent="0.35">
      <c r="A305" s="9">
        <v>304</v>
      </c>
      <c r="B305" s="12" t="s">
        <v>937</v>
      </c>
      <c r="C305" s="12" t="s">
        <v>938</v>
      </c>
      <c r="D305" s="13" t="s">
        <v>939</v>
      </c>
      <c r="E305" s="10" t="s">
        <v>18</v>
      </c>
      <c r="F305" s="14">
        <v>45992</v>
      </c>
      <c r="G305" s="1">
        <f>IFERROR(IF(Sheet1!$F305="","",Sheet1!$F305+365),"")</f>
        <v>46357</v>
      </c>
      <c r="H305" s="1">
        <f>IFERROR(IF(Sheet1!$F305="","",Sheet1!$F305+335),"")</f>
        <v>46327</v>
      </c>
      <c r="I305" s="14">
        <v>45965</v>
      </c>
      <c r="J305" s="1">
        <f>IFERROR(IF(Sheet1!$I305="","",Sheet1!$I305+365),"")</f>
        <v>46330</v>
      </c>
      <c r="K305" s="2">
        <f>IFERROR(IF(Sheet1!$I305="","",Sheet1!$I305+305),"")</f>
        <v>46270</v>
      </c>
    </row>
    <row r="306" spans="1:11" x14ac:dyDescent="0.35">
      <c r="A306" s="9">
        <v>305</v>
      </c>
      <c r="B306" s="10" t="s">
        <v>940</v>
      </c>
      <c r="C306" s="10" t="s">
        <v>941</v>
      </c>
      <c r="D306" s="11" t="s">
        <v>942</v>
      </c>
      <c r="E306" s="10" t="s">
        <v>14</v>
      </c>
      <c r="F306" s="14">
        <v>45986</v>
      </c>
      <c r="G306" s="1">
        <f>IFERROR(IF(Sheet1!$F306="","",Sheet1!$F306+365),"")</f>
        <v>46351</v>
      </c>
      <c r="H306" s="1">
        <f>IFERROR(IF(Sheet1!$F306="","",Sheet1!$F306+335),"")</f>
        <v>46321</v>
      </c>
      <c r="I306" s="1">
        <v>45910</v>
      </c>
      <c r="J306" s="1">
        <f>IFERROR(IF(Sheet1!$I306="","",Sheet1!$I306+365),"")</f>
        <v>46275</v>
      </c>
      <c r="K306" s="2">
        <f>IFERROR(IF(Sheet1!$I306="","",Sheet1!$I306+305),"")</f>
        <v>46215</v>
      </c>
    </row>
    <row r="307" spans="1:11" x14ac:dyDescent="0.35">
      <c r="A307" s="9">
        <v>306</v>
      </c>
      <c r="B307" s="10" t="s">
        <v>943</v>
      </c>
      <c r="C307" s="10" t="s">
        <v>944</v>
      </c>
      <c r="D307" s="10" t="s">
        <v>945</v>
      </c>
      <c r="E307" s="10" t="s">
        <v>172</v>
      </c>
      <c r="F307" s="1"/>
      <c r="G307" s="1" t="str">
        <f>IFERROR(IF(Sheet1!$F307="","",Sheet1!$F307+365),"")</f>
        <v/>
      </c>
      <c r="H307" s="1" t="str">
        <f>IFERROR(IF(Sheet1!$F307="","",Sheet1!$F307+335),"")</f>
        <v/>
      </c>
      <c r="I307" s="1"/>
      <c r="J307" s="1" t="str">
        <f>IFERROR(IF(Sheet1!$I307="","",Sheet1!$I307+365),"")</f>
        <v/>
      </c>
      <c r="K307" s="2" t="str">
        <f>IFERROR(IF(Sheet1!$I307="","",Sheet1!$I307+305),"")</f>
        <v/>
      </c>
    </row>
    <row r="308" spans="1:11" x14ac:dyDescent="0.35">
      <c r="A308" s="9">
        <v>307</v>
      </c>
      <c r="B308" s="10" t="s">
        <v>946</v>
      </c>
      <c r="C308" s="10" t="s">
        <v>947</v>
      </c>
      <c r="D308" s="11" t="s">
        <v>948</v>
      </c>
      <c r="E308" s="10" t="s">
        <v>18</v>
      </c>
      <c r="F308" s="1">
        <v>46051</v>
      </c>
      <c r="G308" s="1">
        <f>IFERROR(IF(Sheet1!$F308="","",Sheet1!$F308+365),"")</f>
        <v>46416</v>
      </c>
      <c r="H308" s="1">
        <f>IFERROR(IF(Sheet1!$F308="","",Sheet1!$F308+335),"")</f>
        <v>46386</v>
      </c>
      <c r="I308" s="1">
        <v>46049</v>
      </c>
      <c r="J308" s="1">
        <f>IFERROR(IF(Sheet1!$I308="","",Sheet1!$I308+365),"")</f>
        <v>46414</v>
      </c>
      <c r="K308" s="2">
        <f>IFERROR(IF(Sheet1!$I308="","",Sheet1!$I308+305),"")</f>
        <v>46354</v>
      </c>
    </row>
    <row r="309" spans="1:11" x14ac:dyDescent="0.35">
      <c r="A309" s="9">
        <v>308</v>
      </c>
      <c r="B309" s="10" t="s">
        <v>949</v>
      </c>
      <c r="C309" s="10" t="s">
        <v>950</v>
      </c>
      <c r="D309" s="10" t="s">
        <v>951</v>
      </c>
      <c r="E309" s="10" t="s">
        <v>56</v>
      </c>
      <c r="F309" s="1">
        <v>46083</v>
      </c>
      <c r="G309" s="1">
        <f>IFERROR(IF(Sheet1!$F309="","",Sheet1!$F309+365),"")</f>
        <v>46448</v>
      </c>
      <c r="H309" s="1">
        <f>IFERROR(IF(Sheet1!$F309="","",Sheet1!$F309+335),"")</f>
        <v>46418</v>
      </c>
      <c r="I309" s="1">
        <v>46079</v>
      </c>
      <c r="J309" s="1">
        <f>IFERROR(IF(Sheet1!$I309="","",Sheet1!$I309+365),"")</f>
        <v>46444</v>
      </c>
      <c r="K309" s="2">
        <f>IFERROR(IF(Sheet1!$I309="","",Sheet1!$I309+305),"")</f>
        <v>46384</v>
      </c>
    </row>
    <row r="310" spans="1:11" x14ac:dyDescent="0.35">
      <c r="A310" s="9">
        <v>309</v>
      </c>
      <c r="B310" s="10" t="s">
        <v>952</v>
      </c>
      <c r="C310" s="10" t="s">
        <v>953</v>
      </c>
      <c r="D310" s="10" t="s">
        <v>954</v>
      </c>
      <c r="E310" s="10" t="s">
        <v>56</v>
      </c>
      <c r="F310" s="1">
        <v>46150</v>
      </c>
      <c r="G310" s="1">
        <f>IFERROR(IF(Sheet1!$F310="","",Sheet1!$F310+365),"")</f>
        <v>46515</v>
      </c>
      <c r="H310" s="1">
        <f>IFERROR(IF(Sheet1!$F310="","",Sheet1!$F310+335),"")</f>
        <v>46485</v>
      </c>
      <c r="I310" s="1">
        <v>46149</v>
      </c>
      <c r="J310" s="1">
        <f>IFERROR(IF(Sheet1!$I310="","",Sheet1!$I310+365),"")</f>
        <v>46514</v>
      </c>
      <c r="K310" s="2">
        <f>IFERROR(IF(Sheet1!$I310="","",Sheet1!$I310+305),"")</f>
        <v>46454</v>
      </c>
    </row>
    <row r="311" spans="1:11" x14ac:dyDescent="0.35">
      <c r="A311" s="9">
        <v>310</v>
      </c>
      <c r="B311" s="10" t="s">
        <v>955</v>
      </c>
      <c r="C311" s="10" t="s">
        <v>956</v>
      </c>
      <c r="D311" s="10" t="s">
        <v>957</v>
      </c>
      <c r="E311" s="10" t="s">
        <v>63</v>
      </c>
      <c r="F311" s="1">
        <v>46093</v>
      </c>
      <c r="G311" s="1">
        <f>IFERROR(IF(Sheet1!$F311="","",Sheet1!$F311+365),"")</f>
        <v>46458</v>
      </c>
      <c r="H311" s="1">
        <f>IFERROR(IF(Sheet1!$F311="","",Sheet1!$F311+335),"")</f>
        <v>46428</v>
      </c>
      <c r="I311" s="1">
        <v>46092</v>
      </c>
      <c r="J311" s="1">
        <f>IFERROR(IF(Sheet1!$I311="","",Sheet1!$I311+365),"")</f>
        <v>46457</v>
      </c>
      <c r="K311" s="2">
        <f>IFERROR(IF(Sheet1!$I311="","",Sheet1!$I311+305),"")</f>
        <v>46397</v>
      </c>
    </row>
    <row r="312" spans="1:11" x14ac:dyDescent="0.35">
      <c r="A312" s="9">
        <v>311</v>
      </c>
      <c r="B312" s="10" t="s">
        <v>958</v>
      </c>
      <c r="C312" s="10" t="s">
        <v>959</v>
      </c>
      <c r="D312" s="10" t="s">
        <v>960</v>
      </c>
      <c r="E312" s="10" t="s">
        <v>56</v>
      </c>
      <c r="F312" s="1">
        <v>46136</v>
      </c>
      <c r="G312" s="1">
        <f>IFERROR(IF(Sheet1!$F312="","",Sheet1!$F312+365),"")</f>
        <v>46501</v>
      </c>
      <c r="H312" s="1">
        <f>IFERROR(IF(Sheet1!$F312="","",Sheet1!$F312+335),"")</f>
        <v>46471</v>
      </c>
      <c r="I312" s="1">
        <v>46135</v>
      </c>
      <c r="J312" s="1">
        <f>IFERROR(IF(Sheet1!$I312="","",Sheet1!$I312+365),"")</f>
        <v>46500</v>
      </c>
      <c r="K312" s="2">
        <f>IFERROR(IF(Sheet1!$I312="","",Sheet1!$I312+305),"")</f>
        <v>46440</v>
      </c>
    </row>
    <row r="313" spans="1:11" x14ac:dyDescent="0.35">
      <c r="A313" s="16">
        <v>312</v>
      </c>
      <c r="B313" s="17" t="s">
        <v>961</v>
      </c>
      <c r="C313" s="17" t="s">
        <v>962</v>
      </c>
      <c r="D313" s="17" t="s">
        <v>963</v>
      </c>
      <c r="E313" s="17" t="s">
        <v>56</v>
      </c>
      <c r="F313" s="3"/>
      <c r="G313" s="3" t="str">
        <f>IFERROR(IF(Sheet1!$F313="","",Sheet1!$F313+365),"")</f>
        <v/>
      </c>
      <c r="H313" s="3" t="str">
        <f>IFERROR(IF(Sheet1!$F313="","",Sheet1!$F313+335),"")</f>
        <v/>
      </c>
      <c r="I313" s="3"/>
      <c r="J313" s="3" t="str">
        <f>IFERROR(IF(Sheet1!$I313="","",Sheet1!$I313+365),"")</f>
        <v/>
      </c>
      <c r="K313" s="4" t="str">
        <f>IFERROR(IF(Sheet1!$I313="","",Sheet1!$I313+305),"")</f>
        <v/>
      </c>
    </row>
  </sheetData>
  <hyperlinks>
    <hyperlink ref="D119" r:id="rId1" display="mailto:lokesh_poojary@cathaypacific.com" xr:uid="{B80603EE-B578-4E3D-B0C1-3ABA26D63E21}"/>
    <hyperlink ref="D131" r:id="rId2" display="mailto:susanne_gupta@cathaypacific.com" xr:uid="{D9F64131-0F62-4DC2-ABE1-9D634C7E9A10}"/>
    <hyperlink ref="D307" r:id="rId3" xr:uid="{F8141DB6-F4C6-48E7-B7FF-E8146BF2D47A}"/>
    <hyperlink ref="D184" r:id="rId4" display="mailto:V027PPW@cathaypacific.com" xr:uid="{55F3B946-A391-4666-A291-D2D5F42EE543}"/>
    <hyperlink ref="D194" r:id="rId5" xr:uid="{9B3384CB-504D-4326-BBB0-C01591CFD67A}"/>
    <hyperlink ref="D5" r:id="rId6" display="mailto:V027AAS@cathaypacific.com" xr:uid="{93028D73-76BF-4433-B668-F951F0FDB667}"/>
    <hyperlink ref="D37" r:id="rId7" display="mailto:asifiqbal_matte@cathaypacific.com" xr:uid="{35B81A65-9622-4509-8414-D11D29AAED70}"/>
    <hyperlink ref="D47" r:id="rId8" display="mailto:V027CBA@cathaypacific.com" xr:uid="{E96DD243-BF43-406D-8FB2-5DD813D9FDB6}"/>
    <hyperlink ref="D49" r:id="rId9" display="mailto:V027CHB@cathaypacific.com" xr:uid="{4CA3E4CD-60D9-4CAA-B85E-FE5EC6FFE20C}"/>
    <hyperlink ref="D70" r:id="rId10" display="mailto:v027dij@cathaypacific.com" xr:uid="{3145CFFF-4984-4BB4-B007-99C8D5A88E36}"/>
    <hyperlink ref="D115" r:id="rId11" display="mailto:laxmi_naidu@cathaypacific.com" xr:uid="{A412763E-CE33-4ADF-B76C-D93185A203D5}"/>
    <hyperlink ref="D162" r:id="rId12" display="mailto:nitesh_poojary@cathaypacific.com" xr:uid="{A43CD2C9-A7CA-401A-87D4-D8EF7BE9B44E}"/>
    <hyperlink ref="D164" r:id="rId13" display="mailto:nitin_hangekar@cathaypacific.com" xr:uid="{41531072-02B3-4C52-A6B5-3FFCEAE910C5}"/>
    <hyperlink ref="D189" r:id="rId14" display="mailto:v027prz@cathaypacific.com" xr:uid="{921574A0-EC77-4631-B39E-2E295C51628D}"/>
    <hyperlink ref="D192" r:id="rId15" display="mailto:v027rrk@cathaypacific.com" xr:uid="{9F759D4C-CFDD-4960-B0CA-D10D99064B30}"/>
    <hyperlink ref="D195" r:id="rId16" display="mailto:v027rrp@cathaypacific.com" xr:uid="{B0711417-E91C-484E-948D-EE9FDAE550D9}"/>
    <hyperlink ref="D231" r:id="rId17" display="mailto:V027SAP@cathaypacific.com" xr:uid="{3CAAE553-BD5E-4356-ACC0-5C7B62B1B4C4}"/>
    <hyperlink ref="D263" r:id="rId18" display="mailto:suchita_chandorkar@cathaypacific.com" xr:uid="{7D1EF740-DCC5-4612-B0FB-31CA622D0D54}"/>
    <hyperlink ref="D286" r:id="rId19" display="mailto:trupti_chavan@cathaypacific.com" xr:uid="{AD7AE9B8-2AA3-4965-B527-A45AAAACA27A}"/>
    <hyperlink ref="D250" r:id="rId20" display="mailto:shikha_bhattacharya@cathaypacific.com" xr:uid="{CC4B1C37-0572-4776-9219-426BD738F05C}"/>
    <hyperlink ref="D24" r:id="rId21" display="mailto:anita_rathod@cathaypacific.com" xr:uid="{DDD9530E-AFE6-4434-9F49-CA3ECDFB00DC}"/>
    <hyperlink ref="D83" r:id="rId22" display="mailto:v027hds@cathaypacific.com" xr:uid="{01D392C4-102A-4B74-8F51-DF3B5CD2C2BA}"/>
    <hyperlink ref="D101" r:id="rId23" display="mailto:kanchan_surve@cathaypacific.com" xr:uid="{DF672C5A-CC96-4206-B8D9-E651EAFF2D1C}"/>
    <hyperlink ref="D191" r:id="rId24" display="mailto:pushkar_pethe@cathaypacific.com" xr:uid="{C29D87F6-D94E-4133-A5C9-9BEFA3BDC252}"/>
    <hyperlink ref="D205" r:id="rId25" display="mailto:ravindra_patil@cathaypacific.com" xr:uid="{CC3FCDAD-2108-4757-8A63-FB8E9B28431D}"/>
    <hyperlink ref="D217" r:id="rId26" display="mailto:V027RUD@cathaypacific.com" xr:uid="{B18B873C-DF14-46D7-9270-A0259D37830C}"/>
    <hyperlink ref="D256" r:id="rId27" display="mailto:V027SHG@cathaypacific.com" xr:uid="{231B3691-F4E8-485B-A1D1-EBD77C28E15C}"/>
    <hyperlink ref="D270" r:id="rId28" display="mailto:sunil_pevekar@cathaypacific.com" xr:uid="{797DD949-4951-4198-B45A-A25FD3EFBB84}"/>
    <hyperlink ref="D274" r:id="rId29" display="mailto:sushil_ghorpade@cathaypacific.com" xr:uid="{376C6357-BD62-4B06-BD0B-CA9C9810C3C3}"/>
    <hyperlink ref="D291" r:id="rId30" display="mailto:vibhavari_khandekar@cathaypacific.com" xr:uid="{1FBE9F23-2335-4FA3-B2C1-722C0A19E666}"/>
    <hyperlink ref="D30" r:id="rId31" display="mailto:CPPAPJ@cathaypacific.com" xr:uid="{F4EC9429-E31E-4381-ABF5-BD3DC863D045}"/>
    <hyperlink ref="D138" r:id="rId32" display="mailto:minal_potphode@cathaypacific.com" xr:uid="{6A838FBE-97ED-4748-AE7A-B6DC5949AEC3}"/>
    <hyperlink ref="D146" r:id="rId33" display="mailto:muriel_braz@cathaypacific.com" xr:uid="{21866C45-8E25-4C12-B30A-291C86F02B67}"/>
    <hyperlink ref="D178" r:id="rId34" display="mailto:CPPPRH@cathaypacific.com" xr:uid="{758BEBBF-80F4-42B9-86BD-9AF9A761DD65}"/>
    <hyperlink ref="D188" r:id="rId35" display="mailto:CPPPRIP@cathaypacific.com" xr:uid="{0741B652-C4A1-4DCE-9B01-06E81C3B27CA}"/>
    <hyperlink ref="D296" r:id="rId36" display="mailto:vindhya_singh@cathaypacific.com" xr:uid="{A74DD872-E04E-4E21-9B63-1A26E410A8B1}"/>
    <hyperlink ref="D299" r:id="rId37" display="mailto:violet_dsouza@cathaypacific.com" xr:uid="{88D6C5BF-A5D7-414C-A922-03B859D3CDE1}"/>
    <hyperlink ref="D2" r:id="rId38" display="mailto:V027ARM@cathaypacific.com" xr:uid="{4A7D1834-F92F-423D-98A8-160549AE2D0E}"/>
    <hyperlink ref="D6" r:id="rId39" display="mailto:V027AKT@cathaypacific.com" xr:uid="{A047980D-794B-4F18-A274-8F7C3F19FB99}"/>
    <hyperlink ref="D11" r:id="rId40" display="mailto:ajit_babar@cathaypacific.com" xr:uid="{A6CFED31-74FE-4AC0-8F64-016C8E855956}"/>
    <hyperlink ref="D15" r:id="rId41" display="mailto:V027AAT@cathaypacific.com" xr:uid="{A5B44427-5EB9-4F32-A5B7-CB0BE244B461}"/>
    <hyperlink ref="D20" r:id="rId42" display="mailto:V027AMJ@cathaypacific.com" xr:uid="{A5FD6D73-536F-40F9-95ED-C8E50023337B}"/>
    <hyperlink ref="D27" r:id="rId43" display="mailto:V027ANK@cathaypacific.com" xr:uid="{9245D8F3-506E-4084-BAFC-6BCC5BCF19DD}"/>
    <hyperlink ref="D33" r:id="rId44" display="mailto:V027AAB@cathaypacific.com" xr:uid="{AD6AEF31-53FF-423A-8AA5-EB5E272AC0FF}"/>
    <hyperlink ref="D38" r:id="rId45" display="mailto:V027AAG@cathaypacific.com" xr:uid="{437A1B45-D938-4879-8611-4F65656E0D82}"/>
    <hyperlink ref="D39" r:id="rId46" display="mailto:azhar_mohammad@cathaypacific.com" xr:uid="{3D1A9F5B-7026-4109-A38C-F57D71F1264E}"/>
    <hyperlink ref="D43" r:id="rId47" display="mailto:V027BHP@cathaypacific.com" xr:uid="{BA7207BE-9331-4CCB-8437-CB31C46EF7C7}"/>
    <hyperlink ref="D45" r:id="rId48" display="mailto:V027BBR@cathaypacific.com" xr:uid="{67B2CF6B-EC07-43A9-BA32-3740008DB436}"/>
    <hyperlink ref="D46" r:id="rId49" display="mailto:brayal_lepez@cathaypacific.com" xr:uid="{C0687AFC-DC70-4512-A0B1-58ABDF6CAE2D}"/>
    <hyperlink ref="D50" r:id="rId50" display="mailto:chetan_bavakar@cathaypacific.com" xr:uid="{783895B5-1724-4F8D-8B12-A9D6E98F35EB}"/>
    <hyperlink ref="D56" r:id="rId51" display="mailto:darshana_keni@cathaypacific.com" xr:uid="{C26E2D17-1323-497A-9F70-FC004DE654E8}"/>
    <hyperlink ref="D63" r:id="rId52" display="mailto:deepti_muranjan@cathaypacific.com" xr:uid="{45B48C6A-0CC3-41BB-954B-ADB59C9BE36F}"/>
    <hyperlink ref="D66" r:id="rId53" display="mailto:V027DDC@cathaypacific.com" xr:uid="{0CDE4DF0-A5EF-4D96-8375-0C3AC25C1F06}"/>
    <hyperlink ref="D69" r:id="rId54" display="mailto:dinesh_gopale@cathaypacific.com" xr:uid="{04DE3546-8B5B-4BF2-B58E-DA39B40EB410}"/>
    <hyperlink ref="D76" r:id="rId55" display="mailto:v027ffm@cathaypacific.com" xr:uid="{C7666AAA-DAB7-4482-B5DF-9C61C9776F58}"/>
    <hyperlink ref="D84" r:id="rId56" display="mailto:himanshu_shardule@cathaypacific.com" xr:uid="{EB4579B7-921F-464C-B1B0-2A741700070A}"/>
    <hyperlink ref="D86" r:id="rId57" display="mailto:V027ISJ@cathaypacific.com" xr:uid="{4352A00D-5715-4021-8943-0E807E5A7D0E}"/>
    <hyperlink ref="D91" r:id="rId58" display="mailto:V027JAD@cathaypacific.com" xr:uid="{715C968D-AF9A-480F-A6DA-7FD8625A72B9}"/>
    <hyperlink ref="D106" r:id="rId59" display="mailto:V027KKS@cathaypacific.com" xr:uid="{BCDEF535-AD77-4440-B2B7-B4F8834D6EB5}"/>
    <hyperlink ref="D108" r:id="rId60" display="mailto:khan_israr@cathaypacific.com" xr:uid="{7A3EA6BF-653C-46F5-8F79-CD276CD4EA09}"/>
    <hyperlink ref="D121" r:id="rId61" display="mailto:madhuri_alahit@cathaypacific.com" xr:uid="{2C9CB49A-9CB0-4829-975E-C94011D3EEDA}"/>
    <hyperlink ref="D122" r:id="rId62" display="mailto:V027MML@cathaypacific.com" xr:uid="{C7F6A0D9-83EE-4451-B04D-6F9801119B6E}"/>
    <hyperlink ref="D123" r:id="rId63" display="mailto:mah_mm_modak@cathaypacific.com" xr:uid="{F8FD9709-ECC3-45A4-90ED-AC9BAA336DE8}"/>
    <hyperlink ref="D141" r:id="rId64" display="mailto:V027MOB@cathaypacific.com" xr:uid="{BF3E52BD-7D9E-4B70-A68E-014D314F680E}"/>
    <hyperlink ref="D142" r:id="rId65" display="mailto:v027mms@cathaypacific.com" xr:uid="{1C48CF10-C2A2-4849-BE8B-57E25F2552AA}"/>
    <hyperlink ref="D143" r:id="rId66" display="mailto:V027MOM@cathaypacific.com" xr:uid="{9E0EBAD6-268D-4C07-AD9C-F37ED53B1235}"/>
    <hyperlink ref="D149" r:id="rId67" display="mailto:V027NHS@cathaypacific.com" xr:uid="{0EE09079-6D5C-41CD-82F2-7800352FD09B}"/>
    <hyperlink ref="D163" r:id="rId68" display="mailto:V027NBE@cathaypacific.com" xr:uid="{EDECEB82-9C5F-46CC-BBC3-25BA4F0A589C}"/>
    <hyperlink ref="D173" r:id="rId69" display="mailto:V027PRJ@cathaypacific.com" xr:uid="{79585D4D-DF4D-4BDA-860A-860CFDEEB729}"/>
    <hyperlink ref="D176" r:id="rId70" display="mailto:prasad_khule@cathaypacific.com" xr:uid="{A54545FF-ED75-4FD4-A02A-C13150795746}"/>
    <hyperlink ref="D179" r:id="rId71" display="mailto:V027PPS@cathaypacific.com" xr:uid="{C8B0076B-F956-44D6-B8F9-C6E382B9908C}"/>
    <hyperlink ref="D197" r:id="rId72" display="mailto:rajendra_gautam@cathaypacific.com" xr:uid="{25AD8DBD-26E7-47EA-9754-01C8C531F0EE}"/>
    <hyperlink ref="D199" r:id="rId73" display="mailto:V027RJK@cathaypacific.com" xr:uid="{44BA8134-DC33-4FF4-9156-4C6E98D49EF0}"/>
    <hyperlink ref="D201" r:id="rId74" display="mailto:V027RAS@cathaypacific.com" xr:uid="{7365252B-D892-4549-B096-E7ECB7E5B047}"/>
    <hyperlink ref="D220" r:id="rId75" display="mailto:V027SSW@cathaypacific.com" xr:uid="{A5083ADA-3E1D-4C91-9D77-B746201D41D7}"/>
    <hyperlink ref="D226" r:id="rId76" display="mailto:sagar_kosambi@cathaypacific.com" xr:uid="{248A623D-A83B-408A-8C92-435360F71712}"/>
    <hyperlink ref="D227" r:id="rId77" display="mailto:V027PUS@cathaypacific.com" xr:uid="{90ED228E-D672-492A-AE00-1C7F15F021CC}"/>
    <hyperlink ref="D228" r:id="rId78" display="mailto:sagar_shedge@cathaypacific.com" xr:uid="{D490A94D-B93E-47E0-B9E8-2D56B094EA2A}"/>
    <hyperlink ref="D241" r:id="rId79" display="mailto:V027SES@cathaypacific.com" xr:uid="{61433B0C-465C-4460-B2CB-39A0369E4D07}"/>
    <hyperlink ref="D252" r:id="rId80" display="mailto:V027SHA@cathaypacific.com" xr:uid="{5D8A871B-5BCC-46D9-88AD-9A512DDF8B47}"/>
    <hyperlink ref="D260" r:id="rId81" display="mailto:V027SSH@cathaypacific.com" xr:uid="{96F1D2F0-90AB-4862-9AA5-6F1743CB9917}"/>
    <hyperlink ref="D272" r:id="rId82" display="mailto:suraraj_patil@cathaypacific.com" xr:uid="{494E06B5-00ED-4959-9770-DECE2EB1AD79}"/>
    <hyperlink ref="D275" r:id="rId83" display="mailto:swapnil_rahate@cathaypacific.com" xr:uid="{B1D9B255-AAED-48D8-96F7-AFF064B91333}"/>
    <hyperlink ref="D278" r:id="rId84" display="mailto:V027SSY@cathaypacific.com" xr:uid="{68E66342-BFED-4E2D-9A92-DF8B45F21B5B}"/>
    <hyperlink ref="D283" r:id="rId85" display="mailto:V027SAT@cathaypacific.com" xr:uid="{DB0538FD-0D1E-44A1-B75D-98744280F328}"/>
    <hyperlink ref="D288" r:id="rId86" display="mailto:V027CCS@cathaypacific.com" xr:uid="{97C761F7-AF75-4827-9DA3-678079601CE1}"/>
    <hyperlink ref="D289" r:id="rId87" display="mailto:V027VAA@cathaypacific.com" xr:uid="{A5C9AAF4-5964-4BD9-8F89-63506B45F0DF}"/>
    <hyperlink ref="D294" r:id="rId88" display="mailto:V027VIT@cathaypacific.com" xr:uid="{9DB9D29C-625B-49B9-8A53-18052A2C0310}"/>
    <hyperlink ref="D306" r:id="rId89" display="mailto:V027ZZM@cathaypacific.com" xr:uid="{AE29D37B-7277-48F5-99FC-CD6A65B76815}"/>
    <hyperlink ref="D8" r:id="rId90" display="mailto:abhijit_khule@cathaypacific.com" xr:uid="{686E0C83-732E-4BEC-BF11-43676A743ED8}"/>
    <hyperlink ref="D9" r:id="rId91" display="mailto:abhinay_ahire@cathaypacific.com" xr:uid="{A9AF014E-7C4A-4D25-81B8-0D46144EA563}"/>
    <hyperlink ref="D10" r:id="rId92" display="mailto:V027AJL@cathaypacific.com" xr:uid="{97C7AEE5-EDBE-4190-B715-0CD5A3CC304E}"/>
    <hyperlink ref="D12" r:id="rId93" display="mailto:V027AHA@cathaypacific.com" xr:uid="{FBF647EA-31CA-4A91-84BE-7939BFF8A8D7}"/>
    <hyperlink ref="D13" r:id="rId94" display="mailto:V027AKP@cathaypacific.com" xr:uid="{DC2B4C00-8A15-4927-8F6D-D8B509ACFD08}"/>
    <hyperlink ref="D17" r:id="rId95" display="mailto:amarjit_yadav@cathaypacific.com" xr:uid="{85B49C11-D4AD-45B8-AD11-8FA1956C6F93}"/>
    <hyperlink ref="D18" r:id="rId96" display="mailto:amey_kale@cathaypacific.com" xr:uid="{7901C515-E1D5-4F36-9C7D-CFFF757C6C60}"/>
    <hyperlink ref="D22" r:id="rId97" display="mailto:V027ANJ@cathaypacific.com" xr:uid="{907A34A5-8464-4B00-82A4-1BC47D0A476F}"/>
    <hyperlink ref="D25" r:id="rId98" display="mailto:ankit_jain@cathaypacific.com" xr:uid="{A20907D9-C25D-4F2B-90F5-4B5950551C0B}"/>
    <hyperlink ref="D31" r:id="rId99" display="mailto:apurva_hate@cathaypacific.com" xr:uid="{9BCF442F-0409-4EBE-88F1-BE415981DEEC}"/>
    <hyperlink ref="D40" r:id="rId100" display="mailto:V027AZS@cathaypacific.com" xr:uid="{0B0DAFE8-1320-4F57-9487-A46895CC03D3}"/>
    <hyperlink ref="D42" r:id="rId101" display="mailto:V027BHA@cathaypacific.com" xr:uid="{1D0C6A05-5828-4AB6-A723-18161134C7BE}"/>
    <hyperlink ref="D55" r:id="rId102" display="mailto:darshana_chunekar@cathaypacific.com" xr:uid="{DAF4ECF7-BF80-4659-B747-519042EE84E8}"/>
    <hyperlink ref="D57" r:id="rId103" display="mailto:deborah_narayanan@cathaypacific.com" xr:uid="{C2F9FF92-8158-4B41-B586-9FDB62B781D6}"/>
    <hyperlink ref="D59" r:id="rId104" display="mailto:deepak_pawar@cathaypacific.com" xr:uid="{137F3486-6201-4BF6-9512-DDB453C0F19A}"/>
    <hyperlink ref="D61" r:id="rId105" display="mailto:V027DER@cathaypacific.com" xr:uid="{E8458567-36FF-4E81-A63F-AAF5F3DD21DE}"/>
    <hyperlink ref="D62" r:id="rId106" display="mailto:deepika_mayangade@cathaypacific.com" xr:uid="{E638DE20-CE9F-416C-9E46-758EDAD1DDA6}"/>
    <hyperlink ref="D64" r:id="rId107" display="mailto:V027DES@cathaypacific.com" xr:uid="{9A0297F5-AEB3-47BC-9741-9884AF31E1D6}"/>
    <hyperlink ref="D68" r:id="rId108" display="mailto:v027ddk@cathaypacific.com" xr:uid="{8D452B02-694C-4EF2-A3CF-8DE41B444360}"/>
    <hyperlink ref="D79" r:id="rId109" display="mailto:V027GAS@cathaypacific.com" xr:uid="{A8423DE0-AF7B-4A6E-BFFC-0CD42F9F76A4}"/>
    <hyperlink ref="D85" r:id="rId110" display="mailto:hrishikesh_kelkar@cathaypacific.com" xr:uid="{550BD2F9-76AF-4C64-9A13-3462AB12528E}"/>
    <hyperlink ref="D90" r:id="rId111" display="mailto:jayachandran_kurup@cathaypacific.com" xr:uid="{8FA8DE5A-463B-44E2-B6D1-FD92B405A2FD}"/>
    <hyperlink ref="D95" r:id="rId112" display="mailto:jorlus_dbritto@cathaypacific.com" xr:uid="{26FD684E-A1F9-4AD4-9094-59432AFA4725}"/>
    <hyperlink ref="D98" r:id="rId113" display="mailto:jyotsna_patankar@cathaypacific.com" xr:uid="{1D06A491-7584-4AC5-B9E7-83DD13DB6C3B}"/>
    <hyperlink ref="D103" r:id="rId114" display="mailto:kavita_malandkar@cathaypacific.com" xr:uid="{E7AFBB23-3235-4F4B-9E5C-ADDCD8E25C9B}"/>
    <hyperlink ref="D112" r:id="rId115" display="mailto:Krishnakant_Gupta@cathaypacific.com" xr:uid="{BE1A2CE0-4A6C-430D-94E8-571A911EA496}"/>
    <hyperlink ref="D113" r:id="rId116" display="mailto:v027kkm@cathaypacific.com" xr:uid="{BC9C5410-0324-410B-9F1A-7397D5D518F1}"/>
    <hyperlink ref="D126" r:id="rId117" display="mailto:yashashree_manjrekar@cathaypacific.com" xr:uid="{AF3C7821-7D43-4FC6-8412-6A6383E19FFD}"/>
    <hyperlink ref="D127" r:id="rId118" display="mailto:manoj_nimse@cathaypacific.com" xr:uid="{8D0F5C43-6E5B-4BA9-9C3A-3AFB6306E230}"/>
    <hyperlink ref="D128" r:id="rId119" display="mailto:manoj_patil@cathaypacific.com" xr:uid="{CDDB0845-D15E-4957-BBCE-963AD99250C7}"/>
    <hyperlink ref="D136" r:id="rId120" display="mailto:megha_zunjarrao@cathaypacific.com" xr:uid="{4164E837-BD6B-4DFF-B93E-08C51102B41A}"/>
    <hyperlink ref="D137" r:id="rId121" display="mailto:michael_joseph@cathaypacific.com" xr:uid="{E2FC1D86-DE1A-4E22-8088-872EDABE5874}"/>
    <hyperlink ref="D139" r:id="rId122" display="mailto:V027MIE@cathaypacific.com" xr:uid="{5589E06D-C704-47A1-B3EF-C2147889A9BD}"/>
    <hyperlink ref="D147" r:id="rId123" display="mailto:murillo_gonsalves@cathaypacific.com" xr:uid="{5BED7A5A-555B-4371-9C10-2F59AAD6035F}"/>
    <hyperlink ref="D151" r:id="rId124" display="mailto:V027NAC@cathaypacific.com" xr:uid="{548EC949-AAA4-4774-A4B2-961415D4BB6E}"/>
    <hyperlink ref="D158" r:id="rId125" display="mailto:nilufer_badhniwalla@cathaypacific.com" xr:uid="{6B88BA6F-3B56-45F1-9206-423F530EB351}"/>
    <hyperlink ref="D165" r:id="rId126" display="mailto:v027nit@cathaypacific.com" xr:uid="{70885326-B976-437F-849D-A04D26EB9D5F}"/>
    <hyperlink ref="D175" r:id="rId127" display="mailto:prasad_gosavi@cathaypacific.com" xr:uid="{18B82B46-C3F3-478F-ABA8-D44E157771D1}"/>
    <hyperlink ref="D185" r:id="rId128" display="mailto:V027PRP@cathaypacific.com" xr:uid="{6C9D5894-8353-4B92-A121-AF3180FD2E1C}"/>
    <hyperlink ref="D186" r:id="rId129" display="mailto:preeti_tejani@cathaypacific.com" xr:uid="{E0DF5593-5D7F-4ED5-9F37-656B6F32FB4C}"/>
    <hyperlink ref="D193" r:id="rId130" display="mailto:rahul_agedkar@cathaypacific.com" xr:uid="{637432D0-7D9B-4E5F-B887-73BF676EC6ED}"/>
    <hyperlink ref="D208" r:id="rId131" display="mailto:V027ROT@cathaypacific.com" xr:uid="{2C7DABBB-768A-45EE-A0DA-88393AB156B9}"/>
    <hyperlink ref="D209" r:id="rId132" display="mailto:swapnil_rodrigues@cathaypacific.com" xr:uid="{33DED7DF-CDB7-47AB-9A2F-52EA8CD404AF}"/>
    <hyperlink ref="D212" r:id="rId133" display="mailto:V027ROM@cathaypacific.com" xr:uid="{6635710D-1338-4EFE-A551-5667311E66FE}"/>
    <hyperlink ref="D215" r:id="rId134" display="mailto:rupali_paradeshi@cathaypacific.com" xr:uid="{8F3E0143-E3D7-4356-BBC2-30104D73421B}"/>
    <hyperlink ref="D216" r:id="rId135" display="mailto:V027RUP@cathaypacific.com" xr:uid="{344308BB-B28B-4B3E-9146-DC6DC2BDC595}"/>
    <hyperlink ref="D218" r:id="rId136" display="mailto:Sachin_Bangera@cathaypacific.com" xr:uid="{4B7829A7-007D-4BAA-AFAB-730AA657CEF2}"/>
    <hyperlink ref="D223" r:id="rId137" display="mailto:V027PAS@cathaypacific.com" xr:uid="{5B7032D3-F6D3-4E27-9A4A-B4E1AAD02B45}"/>
    <hyperlink ref="D224" r:id="rId138" display="mailto:V027SSS@cathaypacific.com" xr:uid="{D3506755-535E-47B0-8A1D-EA62FE0503B8}"/>
    <hyperlink ref="D236" r:id="rId139" display="mailto:santosh_jadhav@cathaypacific.com" xr:uid="{80896852-C737-4609-93A0-3AB153484847}"/>
    <hyperlink ref="D238" r:id="rId140" display="mailto:V027ANS@cathaypacific.com" xr:uid="{C943FC76-87EE-42B4-8362-5FF1D49AE19C}"/>
    <hyperlink ref="D239" r:id="rId141" display="mailto:Satish_Jadhav@cathaypacific.com" xr:uid="{9D5BA07D-7A2F-4606-AA0C-74D81212B9A1}"/>
    <hyperlink ref="D246" r:id="rId142" display="mailto:sharon_thomas@cathaypacific.com" xr:uid="{CDD7D329-6A46-42F3-BD18-42B5AFC79BE3}"/>
    <hyperlink ref="D247" r:id="rId143" display="mailto:shashank_jadhav@cathaypacific.com" xr:uid="{26327581-642C-4481-BBF3-62E0ED2A3534}"/>
    <hyperlink ref="D248" r:id="rId144" display="mailto:shaziya_sayeed@cathaypacific.com" xr:uid="{8F6462A8-0C4B-4F4C-B064-49236F21EFC1}"/>
    <hyperlink ref="D251" r:id="rId145" display="mailto:shishir_pabrekar@cathaypacific.com" xr:uid="{D0995ED2-C793-4650-94C7-F2F662F6A931}"/>
    <hyperlink ref="D254" r:id="rId146" display="mailto:v027ssl@cathaypacific.com" xr:uid="{19092ADE-5E47-4687-A56E-B6F47E8FBB25}"/>
    <hyperlink ref="D261" r:id="rId147" display="mailto:shruti_sashidhar@cathaypacific.com" xr:uid="{C9396F91-D889-4E16-9206-A3E23234C152}"/>
    <hyperlink ref="D264" r:id="rId148" display="mailto:V027SUG@cathaypacific.com" xr:uid="{3643A3A2-A145-45F8-820A-8C628F282240}"/>
    <hyperlink ref="D265" r:id="rId149" display="mailto:suhel_khan@cathaypacific.com" xr:uid="{9A764248-78D3-4294-8675-458A295383A7}"/>
    <hyperlink ref="D268" r:id="rId150" display="mailto:V027SUT@cathaypacific.com" xr:uid="{7389FE7B-3449-45A0-B499-CBDA549A0558}"/>
    <hyperlink ref="D276" r:id="rId151" display="mailto:V027SWP@cathaypacific.com" xr:uid="{51C22023-CCD0-45D6-9D4E-E5C32215FFFC}"/>
    <hyperlink ref="D269" r:id="rId152" display="mailto:sunil_bhosale@cathaypacific.com" xr:uid="{EAEE504D-90F6-4C63-B7B3-8F9B68CAB7BF}"/>
    <hyperlink ref="D292" r:id="rId153" display="mailto:vidya_kadam@cathaypacific.com" xr:uid="{7DD9E2FC-E652-485E-8F45-372502D84AA2}"/>
    <hyperlink ref="D297" r:id="rId154" display="mailto:vinod_menon@cathaypacific.com" xr:uid="{FB1911B0-724F-43B0-BEDD-D0A1A52C9E77}"/>
    <hyperlink ref="D298" r:id="rId155" display="mailto:V027PAV@cathaypacific.com" xr:uid="{AAABDC8A-93F4-4C74-A729-7DB7B8071351}"/>
    <hyperlink ref="D300" r:id="rId156" display="mailto:v027vik@cathaypacific.com" xr:uid="{34ADF9F4-A491-4B1E-8FBC-88B3CFAACC30}"/>
    <hyperlink ref="D16" r:id="rId157" display="mailto:althea_rocha@cathaypacific.com" xr:uid="{4095DF73-1B10-4DCB-B166-A7C9338E21DE}"/>
    <hyperlink ref="D23" r:id="rId158" display="mailto:anil_mathews@cathaypacific.com" xr:uid="{48AF8A5A-769A-4018-9124-AA05F9FD90B9}"/>
    <hyperlink ref="D29" r:id="rId159" display="mailto:V027ANPanp@cathaypacific.com" xr:uid="{9C5498E0-9CAA-40C9-90CE-CE97E9EF32DA}"/>
    <hyperlink ref="D78" r:id="rId160" display="mailto:flavina_fernandes@cathaypacific.com" xr:uid="{15C2B7B2-EB2F-43AD-B238-9BDCCEC484D8}"/>
    <hyperlink ref="D81" r:id="rId161" display="mailto:harshada_ghate@cathaypacific.com" xr:uid="{57342571-30BB-4B0A-8D1C-7B2DF0E23050}"/>
    <hyperlink ref="D92" r:id="rId162" display="mailto:v027jjp@cathaypacific.com" xr:uid="{A49A9C18-C327-4347-B4E4-3F866F8BF409}"/>
    <hyperlink ref="D93" r:id="rId163" display="mailto:V027JIS@cathaypacific.com" xr:uid="{08CE299B-9339-46AC-A94B-9BAB75B8DD11}"/>
    <hyperlink ref="D94" r:id="rId164" display="mailto:v027jjw@cathaypacific.com" xr:uid="{6DE99C19-C340-4BDF-A1F5-685FD62E2CE1}"/>
    <hyperlink ref="D100" r:id="rId165" display="mailto:v027kad@cathaypacific.com" xr:uid="{38BA69EA-4038-49ED-B471-F7BF68C76970}"/>
    <hyperlink ref="D132" r:id="rId166" display="mailto:v027mmp@cathaypacific.com" xr:uid="{D0DC6E03-9B07-457A-9FF2-05F2ED0F4B68}"/>
    <hyperlink ref="D166" r:id="rId167" display="mailto:nuzah_roghay@cathaypacific.com" xr:uid="{2368F65C-9C30-418E-B97F-F3CC68268B2D}"/>
    <hyperlink ref="D167" r:id="rId168" display="mailto:pascol_souza@cathaypacific.com" xr:uid="{CD4C45ED-E064-4D18-B545-5FAA1B7A8CF1}"/>
    <hyperlink ref="D169" r:id="rId169" display="mailto:v027pok@cathaypacific.com" xr:uid="{44FB5C23-3597-40C9-A2B2-0D5F95478671}"/>
    <hyperlink ref="D190" r:id="rId170" display="mailto:v027ppg@cathaypacific.com" xr:uid="{0EBB3875-3EC7-427D-81BF-396ED6955A72}"/>
    <hyperlink ref="D198" r:id="rId171" display="mailto:v027rau@cathaypacific.com" xr:uid="{5F2309B7-1E4E-46F8-9DD0-C4A7E6ED734F}"/>
    <hyperlink ref="D202" r:id="rId172" display="mailto:raju_yadav@cathaypacific.com" xr:uid="{3D4FD433-512F-4EFE-A36B-0B0FD632E86C}"/>
    <hyperlink ref="D206" r:id="rId173" display="mailto:v027rrc@cathaypacific.com" xr:uid="{AD872F60-BC23-4988-B9B5-C68F89AE4FAB}"/>
    <hyperlink ref="D214" r:id="rId174" display="mailto:v027rum@cathaypacific.com" xr:uid="{83C2F46D-A3C3-4F3F-8D4F-2991147D42EC}"/>
    <hyperlink ref="D219" r:id="rId175" display="mailto:v027ssd@cathaypacific.com" xr:uid="{55E98E2C-B047-4DC1-8231-26193491C457}"/>
    <hyperlink ref="D273" r:id="rId176" display="mailto:v027ssp@cathaypacific.com" xr:uid="{C44B46C7-D153-4508-82A4-26C068F941B6}"/>
    <hyperlink ref="D3" r:id="rId177" display="mailto:V027AAA@cathaypacific.com" xr:uid="{24F863A3-DB2A-4D2D-B652-32D0684625EA}"/>
    <hyperlink ref="D19" r:id="rId178" display="mailto:V027AMS@cathaypacific.com" xr:uid="{C0FBB4E3-6C01-4EA2-A160-762E7D049104}"/>
    <hyperlink ref="D32" r:id="rId179" display="mailto:V027AQK@cathaypacific.com" xr:uid="{EB6AE0F2-B225-45FF-B873-1C73A2EE26AC}"/>
    <hyperlink ref="D34" r:id="rId180" display="mailto:arpita_kantol@cathaypacific.com" xr:uid="{7D64DEFB-57F7-4576-858E-33E6AB970334}"/>
    <hyperlink ref="D72" r:id="rId181" display="mailto:v027dus@cathaypacific.com" xr:uid="{878F266F-6E0B-4C6D-B344-FAC1C1E45D15}"/>
    <hyperlink ref="D77" r:id="rId182" display="mailto:V027FAS@cathaypacific.com" xr:uid="{F2417EBF-AC21-45BD-AB3D-147379F6A091}"/>
    <hyperlink ref="D82" r:id="rId183" display="mailto:v027hhk@cathaypacific.com" xr:uid="{B2AFA96A-AA79-4638-9812-ED55353A9619}"/>
    <hyperlink ref="D89" r:id="rId184" display="mailto:v027jjk@cathaypacific.com" xr:uid="{6308D743-082F-4001-B25C-1459B778D602}"/>
    <hyperlink ref="D107" r:id="rId185" display="mailto:v027kkw@cathaypacific.com" xr:uid="{81166C8E-40AC-4C9D-87B4-5E92425BC9B1}"/>
    <hyperlink ref="D110" r:id="rId186" display="mailto:v027kil@cathaypacific.com" xr:uid="{365B4E38-6B28-4050-A50B-21F967A239FD}"/>
    <hyperlink ref="D135" r:id="rId187" display="mailto:v027mmj@cathaypacific.com" xr:uid="{73601176-78A4-4CE3-B1FE-2363BD045BFC}"/>
    <hyperlink ref="D140" r:id="rId188" display="mailto:mitra_naimi@cathaypacific.com" xr:uid="{99EA294B-608D-4E92-95C5-66E70336EC59}"/>
    <hyperlink ref="D159" r:id="rId189" display="mailto:v027nib@cathaypacific.com" xr:uid="{7E436194-81C2-46B1-9E31-FBE32CE255BC}"/>
    <hyperlink ref="D170" r:id="rId190" display="mailto:v027pon@cathaypacific.com" xr:uid="{4B6DCCC8-16DE-492F-92F0-A0B6C3DCA226}"/>
    <hyperlink ref="D172" r:id="rId191" display="mailto:v027bpp@cathaypacific.com" xr:uid="{91E90DF7-ADA1-4B30-9EC0-28E51EB43EA8}"/>
    <hyperlink ref="D174" r:id="rId192" display="mailto:v027ppk@cathaypacific.com" xr:uid="{DB93245A-BB78-4F5B-BD65-01C44E71FB1E}"/>
    <hyperlink ref="D180" r:id="rId193" display="mailto:V027PRS@cathaypacific.com" xr:uid="{D9ADE14C-A514-42DB-9AEA-76F1BD57C4E9}"/>
    <hyperlink ref="D182" r:id="rId194" display="mailto:v027bph@cathaypacific.com" xr:uid="{D0EBBB63-B61B-46E0-9BB4-C59CEDF1E56B}"/>
    <hyperlink ref="D196" r:id="rId195" display="mailto:v027rrr@cathaypacific.com" xr:uid="{668DC6FC-3A8D-41DB-A37D-3A2A8C47C494}"/>
    <hyperlink ref="D204" r:id="rId196" display="mailto:V027RAK@cathaypacific.com" xr:uid="{732874DC-A3B2-4BEA-A80D-BC134A1C079F}"/>
    <hyperlink ref="D221" r:id="rId197" display="mailto:v027sasm@cathaypacific.com" xr:uid="{EACC51D9-D2C4-44A5-B3A6-1833147935E2}"/>
    <hyperlink ref="D234" r:id="rId198" display="mailto:v027saw@cathaypacific.com" xr:uid="{D744FDE7-587C-4974-ABAE-C9247132B59C}"/>
    <hyperlink ref="D235" r:id="rId199" display="mailto:sanket_kasle@cathaypacific.com" xr:uid="{8BE2E60A-D3D3-4AFA-8488-3011C2E9C27A}"/>
    <hyperlink ref="D244" r:id="rId200" display="mailto:v027spa@cathaypacific.com" xr:uid="{A7AF5960-9273-4AC9-91F3-3054442E664E}"/>
    <hyperlink ref="D253" r:id="rId201" display="mailto:shrunal_nangare@cathaypacific.com" xr:uid="{3E52360F-F2CE-4FF0-9171-569AA491B325}"/>
    <hyperlink ref="D267" r:id="rId202" display="mailto:V027SUP@cathaypacific.com" xr:uid="{797F9144-7234-46BD-861F-D76A2F27D315}"/>
    <hyperlink ref="D295" r:id="rId203" display="mailto:v027viv@cathaypacific.com" xr:uid="{E17F31A1-1735-4356-9E52-F8AB155AE370}"/>
    <hyperlink ref="D304" r:id="rId204" display="mailto:zaheer_patel@cathaypacific.com" xr:uid="{FCE52875-B909-4F51-9FB8-F9858EA6744C}"/>
    <hyperlink ref="D308" r:id="rId205" xr:uid="{2CB55CCB-2592-4AD3-874E-3944CA2B124D}"/>
    <hyperlink ref="D4" r:id="rId206" display="mailto:aarti_sehgal@cathaypacific.com" xr:uid="{6836D192-2706-4950-8BDA-D33517E7DA77}"/>
    <hyperlink ref="D74" r:id="rId207" display="mailto:ellery_mendonsa@cathaypacific.com" xr:uid="{E88F4D3D-0BF9-435C-8730-6C2E55287CC0}"/>
    <hyperlink ref="D80" r:id="rId208" display="mailto:V027HHS@cathaypacific.com" xr:uid="{10A5EAAC-C435-4280-AEA8-2BD47BF4BE1A}"/>
    <hyperlink ref="D87" r:id="rId209" display="mailto:CPPJANS@cathaypacific.com" xr:uid="{980992F2-85C4-4CE1-AF69-9F7A7EC9A865}"/>
    <hyperlink ref="D105" r:id="rId210" display="mailto:ketan_hande@cathaypacific.com" xr:uid="{544C05B5-33F0-4349-819D-F405610C271C}"/>
    <hyperlink ref="D124" r:id="rId211" display="mailto:mandar_warang@cathaypacific.com" xr:uid="{1ABCDE72-84A9-4D7F-9C3B-0FC0CA6C7A2F}"/>
    <hyperlink ref="D129" r:id="rId212" display="mailto:cppmsa@cathaypacific.com" xr:uid="{49C6D1EB-6160-4AF1-A682-AE194E71F6C0}"/>
    <hyperlink ref="D157" r:id="rId213" display="mailto:nilesh_raghavan@cathaypacific.com" xr:uid="{59CD40D4-A987-486E-8213-229D86CFF594}"/>
    <hyperlink ref="D210" r:id="rId214" display="mailto:V027RK@cathaypacific.com" xr:uid="{CC56551E-E2E1-4418-A09C-6B3A0E2D0195}"/>
    <hyperlink ref="D213" r:id="rId215" display="mailto:V027PRR@cathaypacific.com" xr:uid="{B54395CD-748E-4B01-8508-4A91763E1CF7}"/>
    <hyperlink ref="D240" r:id="rId216" display="mailto:V027SSB@cathaypacific.com" xr:uid="{D19F0718-0887-40E6-9BC6-0041CCE39D45}"/>
    <hyperlink ref="D281" r:id="rId217" display="mailto:tanvi_ranwala@cathaypacific.com" xr:uid="{D322CE8C-A7C9-4DD7-90C5-0EFCE4015113}"/>
    <hyperlink ref="D284" r:id="rId218" display="mailto:v027ttv@cathaypacific.com" xr:uid="{F0F750D1-289F-442D-B863-A5131848C7A2}"/>
    <hyperlink ref="D302" r:id="rId219" display="mailto:yogesh_desai@cathaypacific.com" xr:uid="{55082BE1-3CC3-4A67-954D-CB321FE3D86A}"/>
    <hyperlink ref="D303" r:id="rId220" display="mailto:yogesh_gaikwad@cathaypacific.com" xr:uid="{1AFCD34F-A99E-4FC9-B850-20E3BA2203C4}"/>
    <hyperlink ref="D249" r:id="rId221" display="mailto:v027shn@cathaypacific.com" xr:uid="{C9FBCF74-633F-4E32-BF16-80955B7B7775}"/>
    <hyperlink ref="D285" r:id="rId222" display="mailto:v027tek@cathaypacific.com" xr:uid="{BA18DE7F-F634-48F4-8D74-F7D39154623F}"/>
    <hyperlink ref="D207" r:id="rId223" display="mailto:v027rrm@cathaypacific.com" xr:uid="{C977D58D-A592-4022-BA72-9A3A2541C67C}"/>
    <hyperlink ref="D134" r:id="rId224" display="mailto:v027mam@cathaypacific.com" xr:uid="{2D8624F8-5717-411A-BF3D-113E6429BBD1}"/>
    <hyperlink ref="D145" r:id="rId225" display="mailto:v027mrk@cathaypacific.com" xr:uid="{9E977514-46CD-4BDF-BAB4-C228504B27A5}"/>
    <hyperlink ref="D53" r:id="rId226" display="mailto:v027ddd@cathaypacific.com" xr:uid="{515075DA-FECF-42BD-9D56-B431765C2A3E}"/>
    <hyperlink ref="D14" r:id="rId227" display="mailto:v027aks@cathaypacific.com" xr:uid="{03E5CFFD-3A75-46EE-B8EC-218634F25047}"/>
    <hyperlink ref="D52" r:id="rId228" display="mailto:v027cll@cathaypacific.com" xr:uid="{F2AA84DD-0339-44DA-A8B5-A9ECCD2D8ADD}"/>
    <hyperlink ref="D144" r:id="rId229" display="mailto:v027dem@cathaypacific.com" xr:uid="{4C379164-2091-40A7-9544-C508781AA685}"/>
    <hyperlink ref="D41" r:id="rId230" xr:uid="{75541313-5A6E-455E-A58D-222A0C39E07F}"/>
    <hyperlink ref="D44" r:id="rId231" xr:uid="{9A3E15F5-858E-47FC-B982-9729F5A0167B}"/>
    <hyperlink ref="D71" r:id="rId232" display="mailto:v027tek@cathaypacific.com" xr:uid="{0C627DB2-B438-4267-B559-6FD74726FEAF}"/>
    <hyperlink ref="D152" r:id="rId233" xr:uid="{922387B0-697D-4B08-B477-2396C28E61BA}"/>
    <hyperlink ref="D21" r:id="rId234" display="mailto:V027AMA@cathaypacific.com" xr:uid="{60611EC1-48BE-4C74-8D68-19316E89DAF9}"/>
    <hyperlink ref="D26" r:id="rId235" display="mailto:V027AND@cathaypacific.com" xr:uid="{EFD16CC0-8026-499A-B4E3-2B767797AB21}"/>
    <hyperlink ref="D28" r:id="rId236" display="mailto:ansari_abdul@cathaypacific.com" xr:uid="{B00F6E21-2E2C-4759-BB08-B1490D76F8B1}"/>
    <hyperlink ref="D36" r:id="rId237" display="mailto:V027ASJ@cathaypacific.com" xr:uid="{86C06D35-CA1F-4585-B5C1-EE5E81A220F4}"/>
    <hyperlink ref="D54" r:id="rId238" display="mailto:V027BDS@cathaypacific.com" xr:uid="{B1E89BF2-341B-4509-B493-9FE53D8ED910}"/>
    <hyperlink ref="D58" r:id="rId239" display="mailto:V027DDG@cathaypacific.com" xr:uid="{F0A72B25-E027-4F31-9FF0-71918ADEE9D9}"/>
    <hyperlink ref="D88" r:id="rId240" display="mailto:V027JAG@cathaypacific.com" xr:uid="{1EEE779C-6B73-438E-A102-4F0575147A0A}"/>
    <hyperlink ref="D104" r:id="rId241" display="mailto:V027KEA@cathaypacific.com" xr:uid="{B3C558AC-2330-4E94-B191-72F48659CFFB}"/>
    <hyperlink ref="D109" r:id="rId242" display="mailto:kiran_gambhir@cathaypacific.com" xr:uid="{035141CF-F0E4-41CD-B50F-B785B59502FC}"/>
    <hyperlink ref="D116" r:id="rId243" display="mailto:V027LAX@cathaypacific.com" xr:uid="{7A310C2A-C892-4336-875F-B9165F604E7A}"/>
    <hyperlink ref="D117" r:id="rId244" display="mailto:leena_kirti@cathaypacific.com" xr:uid="{D8C96625-3BA1-477A-94E5-4B976619B701}"/>
    <hyperlink ref="D148" r:id="rId245" display="mailto:V027MUP@cathaypacific.com" xr:uid="{84939D25-D833-4CE9-9781-49AEE4CC9F1E}"/>
    <hyperlink ref="D150" r:id="rId246" display="mailto:V027NNS@cathaypacific.com" xr:uid="{C1033C8C-0C03-40E9-A5C1-7B9E92DA907C}"/>
    <hyperlink ref="D181" r:id="rId247" display="mailto:V027PRT@cathaypacific.com" xr:uid="{5DA7DACC-3F63-43C1-9A01-D74332734585}"/>
    <hyperlink ref="D183" r:id="rId248" display="mailto:V027PRA@cathaypacific.com" xr:uid="{4E70F833-E43A-41CC-ACEC-40D5CAEFBE9F}"/>
    <hyperlink ref="D222" r:id="rId249" display="mailto:V027SSM@cathaypacific.com" xr:uid="{04570F82-9C95-4106-8AE5-BF3F5648ADFE}"/>
    <hyperlink ref="D230" r:id="rId250" display="mailto:sandeep_mane@cathaypacific.com" xr:uid="{873FFEC4-97C0-4EAA-9859-78CDD3238EFF}"/>
    <hyperlink ref="D232" r:id="rId251" display="mailto:Sangeeta_Kotian@cathaypacific.com" xr:uid="{7CED8B6F-84F2-4CA1-ACD8-18A7EFCAD320}"/>
    <hyperlink ref="D243" r:id="rId252" display="mailto:V027SHP@cathaypacific.com" xr:uid="{E8E3225F-EA2C-4A48-8891-D0016DA5CEFD}"/>
    <hyperlink ref="D259" r:id="rId253" display="mailto:V027SOK@cathaypacific.com" xr:uid="{95F82029-0ED9-44B8-BF8A-3ADF55BCA68C}"/>
    <hyperlink ref="D277" r:id="rId254" display="mailto:swati_saravade@cathaypacific.com" xr:uid="{C866D221-091E-4F3C-82A0-BE476CADB86F}"/>
    <hyperlink ref="D280" r:id="rId255" display="mailto:V027TKR@cathaypacific.com" xr:uid="{AE2C597A-06CA-4591-9588-09DACC5E4794}"/>
    <hyperlink ref="D301" r:id="rId256" display="mailto:V027YAS@cathaypacific.com" xr:uid="{A3953DD8-CC7A-41CF-9DE7-AF0A42A626ED}"/>
    <hyperlink ref="D305" r:id="rId257" xr:uid="{DF4C639C-47CB-49D6-9211-1A23BD7CF281}"/>
    <hyperlink ref="D35" r:id="rId258" xr:uid="{F572BACE-6AB4-4566-A30C-A227F447DF99}"/>
    <hyperlink ref="D130" r:id="rId259" xr:uid="{D9D00D96-6EC1-492A-827B-5BF5B5A9DDEE}"/>
    <hyperlink ref="D154" r:id="rId260" xr:uid="{79AB2339-F33C-4465-A511-E9B5E5F1A093}"/>
    <hyperlink ref="D187" r:id="rId261" xr:uid="{6521A91C-51DC-4F8A-8818-C688567EB79F}"/>
    <hyperlink ref="D242" r:id="rId262" xr:uid="{415956E3-EB8B-44AA-B51D-8599CF983CA8}"/>
    <hyperlink ref="D279" r:id="rId263" xr:uid="{671896F7-1CCB-4DEF-9CC4-51E81FFF6B5F}"/>
    <hyperlink ref="D282" r:id="rId264" tooltip="mailto:V027TTL@cathaypacific.com" display="mailto:V027TTL@cathaypacific.com" xr:uid="{1CDF3665-DFEA-4615-8645-8D12AAD1FAA0}"/>
    <hyperlink ref="D120" r:id="rId265" display="mailto:lydia_carneiro@cathaypacific.com" xr:uid="{E8BAEAE6-3032-4294-B26F-75944AAA1070}"/>
    <hyperlink ref="D293" r:id="rId266" display="mailto:V027VIL@cathaypacific.com" xr:uid="{13354D63-2D97-44EA-823C-730B3B3BF5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Goraksha</dc:creator>
  <cp:lastModifiedBy>Rahul Goraksha</cp:lastModifiedBy>
  <dcterms:created xsi:type="dcterms:W3CDTF">2026-07-07T03:33:53Z</dcterms:created>
  <dcterms:modified xsi:type="dcterms:W3CDTF">2026-07-13T05:48:03Z</dcterms:modified>
</cp:coreProperties>
</file>