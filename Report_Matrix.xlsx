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haypacificairways-my.sharepoint.com/personal/v027rag_cathaypacific_com/Documents/"/>
    </mc:Choice>
  </mc:AlternateContent>
  <xr:revisionPtr revIDLastSave="0" documentId="8_{54BC7815-1CDA-48B9-ACBD-D133A5DA1A9A}" xr6:coauthVersionLast="47" xr6:coauthVersionMax="47" xr10:uidLastSave="{00000000-0000-0000-0000-000000000000}"/>
  <bookViews>
    <workbookView xWindow="-110" yWindow="-110" windowWidth="19420" windowHeight="11500" firstSheet="2" activeTab="2" xr2:uid="{CC7BE6FE-7A36-4575-8FC8-3BCED7FC4437}"/>
  </bookViews>
  <sheets>
    <sheet name="MIS" sheetId="1" r:id="rId1"/>
    <sheet name="Automation_Mng" sheetId="3" r:id="rId2"/>
    <sheet name="Time_Saving" sheetId="4" r:id="rId3"/>
  </sheets>
  <definedNames>
    <definedName name="_xlnm._FilterDatabase" localSheetId="0" hidden="1">MIS!$A$1:$M$36</definedName>
    <definedName name="_xlnm._FilterDatabase" localSheetId="1" hidden="1">Automation_Mng!$D$1:$F$37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5" i="4"/>
  <c r="D2" i="3"/>
  <c r="H24" i="4"/>
  <c r="C45" i="1"/>
  <c r="H23" i="4"/>
  <c r="H20" i="4"/>
  <c r="C44" i="1"/>
  <c r="H22" i="4"/>
  <c r="H21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C43" i="1"/>
  <c r="C40" i="1"/>
  <c r="C42" i="1"/>
  <c r="C41" i="1"/>
  <c r="C39" i="1"/>
  <c r="C38" i="1"/>
  <c r="C37" i="1"/>
  <c r="C36" i="1"/>
  <c r="C35" i="1"/>
  <c r="C34" i="1"/>
  <c r="C30" i="1"/>
  <c r="C31" i="1"/>
  <c r="C29" i="1"/>
  <c r="C33" i="1"/>
  <c r="C32" i="1"/>
  <c r="C28" i="1"/>
  <c r="C27" i="1"/>
  <c r="C26" i="1"/>
  <c r="C25" i="1"/>
  <c r="C24" i="1"/>
  <c r="C23" i="1"/>
  <c r="C22" i="1"/>
  <c r="C21" i="1"/>
  <c r="C20" i="1"/>
  <c r="C19" i="1"/>
  <c r="C18" i="1"/>
  <c r="C17" i="1"/>
  <c r="C3" i="1"/>
  <c r="C4" i="1"/>
  <c r="C6" i="1"/>
  <c r="C8" i="1"/>
  <c r="C5" i="1"/>
  <c r="C7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<sst xmlns="http://schemas.openxmlformats.org/spreadsheetml/2006/main" count="637" uniqueCount="330">
  <si>
    <t>Sr</t>
  </si>
  <si>
    <t>case_id</t>
  </si>
  <si>
    <t>Month</t>
  </si>
  <si>
    <t>Start_Date</t>
  </si>
  <si>
    <t>Team</t>
  </si>
  <si>
    <t>Title</t>
  </si>
  <si>
    <t>Description</t>
  </si>
  <si>
    <t>Status</t>
  </si>
  <si>
    <t>Benefit</t>
  </si>
  <si>
    <t>Remark</t>
  </si>
  <si>
    <t>End_Date</t>
  </si>
  <si>
    <t>result</t>
  </si>
  <si>
    <t>R1</t>
  </si>
  <si>
    <t>Case_Id01</t>
  </si>
  <si>
    <t>Zubin, Sonal</t>
  </si>
  <si>
    <t xml:space="preserve">Incoming Mail </t>
  </si>
  <si>
    <t>Define process flow based on use cases</t>
  </si>
  <si>
    <t>done</t>
  </si>
  <si>
    <t>Track incoming emails by inquiry, escalation, and approval categories</t>
  </si>
  <si>
    <t>design &amp; developed</t>
  </si>
  <si>
    <t>achieved</t>
  </si>
  <si>
    <t>Outgoing Mail</t>
  </si>
  <si>
    <t>Design workflow for outgoing emails</t>
  </si>
  <si>
    <t>Track both incoming and outgoing emails in a single SharePoint using NLP-based segregation</t>
  </si>
  <si>
    <t>Incoming + Outgoing</t>
  </si>
  <si>
    <t>Design workflow for incoming and outgoing emails</t>
  </si>
  <si>
    <t>Track the incoming &amp; outgoing in the same sahrepoint, NLP based approach segregation</t>
  </si>
  <si>
    <t>Zubin, Lilac</t>
  </si>
  <si>
    <t>Create TAT-based unread email reader with deadline alerts</t>
  </si>
  <si>
    <t>Implement deadline tracking to avoid delays</t>
  </si>
  <si>
    <t>Case_Id02</t>
  </si>
  <si>
    <t>Lydia</t>
  </si>
  <si>
    <t>Talent_Hub</t>
  </si>
  <si>
    <t>Implement and document Print Layout features</t>
  </si>
  <si>
    <t>Monitor completed course learning and generate a properly formatted final summary</t>
  </si>
  <si>
    <t>Case_Id03</t>
  </si>
  <si>
    <t xml:space="preserve">Form </t>
  </si>
  <si>
    <t>Integrate multiple forms into one system</t>
  </si>
  <si>
    <t>Use branching logic (one-to-many workflow approach)</t>
  </si>
  <si>
    <t>Case_Id04</t>
  </si>
  <si>
    <t>Zubin</t>
  </si>
  <si>
    <t xml:space="preserve">IET </t>
  </si>
  <si>
    <t>Establish data protection and anti-manipulation controls</t>
  </si>
  <si>
    <t>Capture user data automatically, compile it for analysis, and send via email</t>
  </si>
  <si>
    <t>De-Active</t>
  </si>
  <si>
    <t>Case_Id33</t>
  </si>
  <si>
    <t>PNR Stats Model</t>
  </si>
  <si>
    <t>Develop a clone version of PNR Stats</t>
  </si>
  <si>
    <t>Track PNR count and duration</t>
  </si>
  <si>
    <t>shared final copy with head for test</t>
  </si>
  <si>
    <t>-</t>
  </si>
  <si>
    <t>Zubin,Lilac, Arti</t>
  </si>
  <si>
    <t>Mandar's file</t>
  </si>
  <si>
    <t>Design process to consolidate all file data into a single file</t>
  </si>
  <si>
    <t>Consolidate all information into a single file to save time</t>
  </si>
  <si>
    <t>Case_Id10</t>
  </si>
  <si>
    <t>Sonal, Shruti, Nilufer, Murillo</t>
  </si>
  <si>
    <t>Myfare Pass-on Entry</t>
  </si>
  <si>
    <t>Enable data transfer from Myfares 1.0 / Myfares 2.0 to Excel</t>
  </si>
  <si>
    <t>Eliminate manual data entry from SharePoint to Excel</t>
  </si>
  <si>
    <t>entries only coming wrong then issue</t>
  </si>
  <si>
    <t>Case_Id05</t>
  </si>
  <si>
    <t>Sonal</t>
  </si>
  <si>
    <t>Reminder Mail</t>
  </si>
  <si>
    <t>Design the Auto-Reminder</t>
  </si>
  <si>
    <t xml:space="preserve">Sent the reminder to team on weekly basis </t>
  </si>
  <si>
    <t>Case_Id08</t>
  </si>
  <si>
    <t>Vinod</t>
  </si>
  <si>
    <t>Attendance Autofiller</t>
  </si>
  <si>
    <t>Design the Autofiller from One Excel to Another Excel</t>
  </si>
  <si>
    <t>Capture the Data from from one excel and deploy it in to another</t>
  </si>
  <si>
    <t>Automation of Post-Training Feedback Forms</t>
  </si>
  <si>
    <t>Automation of Post‑Training Feedback Forms: To automate the sending of feedback forms to employees upon training completion.</t>
  </si>
  <si>
    <t>Enables timely and consistent collection of training feedback; Reduces manual effort in sending feedback forms; Ensures a standardized post‑training feedback process</t>
  </si>
  <si>
    <t>Case_Id06</t>
  </si>
  <si>
    <t>Automation of Onboarding Training Instructions</t>
  </si>
  <si>
    <t>Automate the sending of the new joiner welcome email so it is triggered automatically and delivered to every employee on their date of joining.</t>
  </si>
  <si>
    <t>Professional and seamless onboarding experience for all new joiners</t>
  </si>
  <si>
    <t>Akbar, Michael</t>
  </si>
  <si>
    <t>RT WFH file</t>
  </si>
  <si>
    <t>Automate to avoid error and reduce time of compile and multiple entry at the same time</t>
  </si>
  <si>
    <t>Reduce the timely process of download, compile, data entry</t>
  </si>
  <si>
    <t>Case_Id07</t>
  </si>
  <si>
    <t>Automation of Onboarding Training Completion and Closure</t>
  </si>
  <si>
    <t>Automatically update onboarding training status in Microsoft Lists and trigger a closure email once a new joiner submits the training completion MS Form.</t>
  </si>
  <si>
    <t>Eliminates manual tracking and follow-ups while streamlining the onboarding process.</t>
  </si>
  <si>
    <t>Case_Id12</t>
  </si>
  <si>
    <t>brayan</t>
  </si>
  <si>
    <t>Macros : Telex Data Extraction for Cancelled flights during major Disruptions</t>
  </si>
  <si>
    <t>Automation of telex review and data generation process.</t>
  </si>
  <si>
    <t>Saves 10-12 hours for 100 flights, reduces errors, boosts productivity, and enables faster decision-making.</t>
  </si>
  <si>
    <t>Automate culture snippet emails</t>
  </si>
  <si>
    <t>Store culture snippets in a Microsoft List, manage order, and auto-send Fridays 10 AM via Power Automate, marking each as Sent.</t>
  </si>
  <si>
    <t>Ensures consistent weekly delivery, no manual effort, and easy planning in advance.</t>
  </si>
  <si>
    <t>recommend the feature of schedule mail using outlook</t>
  </si>
  <si>
    <t>Training Session Recording App</t>
  </si>
  <si>
    <t>Create an in-house app to record and upload training sessions, avoiding repetition and enabling wider audience training.</t>
  </si>
  <si>
    <t>Provides reusable training content, though recording and uploading may be challenging.</t>
  </si>
  <si>
    <t>New Entry</t>
  </si>
  <si>
    <t>recommed the feature of ms one note issue of storing</t>
  </si>
  <si>
    <t>Case_Id13</t>
  </si>
  <si>
    <t>Neha</t>
  </si>
  <si>
    <t>LWP Data Collection &amp; Payroll Automation</t>
  </si>
  <si>
    <t>Automates the collection, consolidation, and reporting of Leave Without Pay (LWP) data from supervisors to HR and Finance using Microsoft 365 tools.</t>
  </si>
  <si>
    <t>Reduces manual effort and errors, saves 6–8 hours monthly, and ensures accurate, centralized payroll data processing.</t>
  </si>
  <si>
    <t>devloped and run successfully but diverted to spine</t>
  </si>
  <si>
    <t>Case_Id16</t>
  </si>
  <si>
    <t>Automated Mandatory Training Compliance Tracker(Recertification) using Excel Logic</t>
  </si>
  <si>
    <t>Centralized Microsoft Lists tracker enables supervisors manage training compliance automatically</t>
  </si>
  <si>
    <t>Reduces manual effort ensures timely compliance visibility and clear ownership</t>
  </si>
  <si>
    <t>Case_Id14</t>
  </si>
  <si>
    <t>Quarter_Excel Automation_Multiple Access_Dept wise_Overall Summ of Trng Man Hr</t>
  </si>
  <si>
    <t>Automates reminders, updates tracking, confirmations, and final approval communication workflow</t>
  </si>
  <si>
    <t>Ensures timely updates, reduces follow-ups, improves visibility, centralized tracking system</t>
  </si>
  <si>
    <t>Case_Id15</t>
  </si>
  <si>
    <t>Automated Training Quiz Scoring, Reporting and Email Distribution System</t>
  </si>
  <si>
    <t>Automates quiz scoring, consolidation, reporting, and stakeholder email communication workflow</t>
  </si>
  <si>
    <t>Reduces manual work, improves accuracy, saves time, faster reporting visibility</t>
  </si>
  <si>
    <t>came up with Version 2 approach to respective team wise resulting : 6/10/2026</t>
  </si>
  <si>
    <t>Case_Id18</t>
  </si>
  <si>
    <t>Mitra, rajesh</t>
  </si>
  <si>
    <t>SPINE Annual Leave Calculation for Audit</t>
  </si>
  <si>
    <t>SPINE Annual Leave Calculation for Audit.</t>
  </si>
  <si>
    <t>This automation streamlines data processes by eliminating manual work, reducing errors, ensuring consistent reporting, and saving time for HR, Operations, and Finance teams.</t>
  </si>
  <si>
    <t xml:space="preserve">Excel Online format shared to rajesh Alternative can be achieved using spine via uploading the csv file </t>
  </si>
  <si>
    <t>Taruna</t>
  </si>
  <si>
    <t>Automation of details entered in the Quality check file</t>
  </si>
  <si>
    <t>Automate capture of RLOC details and user details into one final, consolidated file.</t>
  </si>
  <si>
    <t>Time per employee entry will be reduced as most details are auto-captured or selected via dropdowns, with minimal manual input required for specific system-based fields like RLOC for queues.</t>
  </si>
  <si>
    <t>Case_Id20</t>
  </si>
  <si>
    <t>Automation Idea Submission Notification via Microsoft Forms and Teams</t>
  </si>
  <si>
    <t>Automatically posts new automation ideas from Forms directly to Teams</t>
  </si>
  <si>
    <t>Ensures instant visibility faster review and no missed automation ideas</t>
  </si>
  <si>
    <t>Case_Id21</t>
  </si>
  <si>
    <t>Centralized Contact Repository Automated Using SharePoint And Power Automate</t>
  </si>
  <si>
    <t>Automatically synchronize contacts between SharePoint lists ensuring complete, consistent information</t>
  </si>
  <si>
    <t>Eliminates duplication, improves accuracy, enables real time centralized contact management</t>
  </si>
  <si>
    <t>Case_Id22</t>
  </si>
  <si>
    <t>Training Compliance Visibility Through Automated Tracking Framework</t>
  </si>
  <si>
    <t>Automates training tracking and presents due status through centralized summaries.</t>
  </si>
  <si>
    <t>Improves transparency, enables proactive planning, ensures consistent training coverage.</t>
  </si>
  <si>
    <t>Case_Id23</t>
  </si>
  <si>
    <t>Mail Compiler for section Based in one book</t>
  </si>
  <si>
    <t>Automate saving sent emails into OneNote sections based on subjects</t>
  </si>
  <si>
    <t>Centralized searchable archive eliminates manual effort and improves future reference</t>
  </si>
  <si>
    <t>Case_Id24</t>
  </si>
  <si>
    <t xml:space="preserve">Monthly Fare Report Consolidation </t>
  </si>
  <si>
    <t>Consolidate seven team reports into one centralized monthly master workbook.</t>
  </si>
  <si>
    <t>Eliminates manual consolidation, saves time, improves reporting accuracy significantly.</t>
  </si>
  <si>
    <t>Vinod, Sonal</t>
  </si>
  <si>
    <t>Copilot Awarness Flow Structuring using Power Automate flow design</t>
  </si>
  <si>
    <t>Automatically sent mail to user on specific day at specific time</t>
  </si>
  <si>
    <t>Minimize the repetative task and increase productivity</t>
  </si>
  <si>
    <t>Schedule Mail Feature Usage</t>
  </si>
  <si>
    <t>Schedule a mail using Scheduler feature</t>
  </si>
  <si>
    <t>Draft it and keep it schedule to be sent on set duration</t>
  </si>
  <si>
    <t>Case_Id25</t>
  </si>
  <si>
    <t>Automated new joiner check-in emails streamline HR follow-up communication processes</t>
  </si>
  <si>
    <t>System automatically triggers standardized check-in emails based on employee joining dates</t>
  </si>
  <si>
    <t>Improves efficiency, ensures timely follow-ups, reduces missed employee check-ins consistently</t>
  </si>
  <si>
    <t>Case_Id26</t>
  </si>
  <si>
    <t>End-to-End Business Process Automation Implementation</t>
  </si>
  <si>
    <t>Automates workflow, reduces manual tasks, ensures seamless system integration</t>
  </si>
  <si>
    <t>Improves efficiency reduces errors increases productivity through automated workflow execution</t>
  </si>
  <si>
    <t>Case_Id27</t>
  </si>
  <si>
    <t>Shruti</t>
  </si>
  <si>
    <t>Automation of MoM (Minutes of Meeting) Acknowledgement Tracking – Fares Team</t>
  </si>
  <si>
    <t>Automates MoM acknowledgment tracking, standardizes data, and generates structured reports.</t>
  </si>
  <si>
    <t>Eliminates effort ensures accuracy improves visibility enables reporting scalability benefits</t>
  </si>
  <si>
    <t>Case_Id28</t>
  </si>
  <si>
    <t>Murillo</t>
  </si>
  <si>
    <t>Automate Monthly 1A Login Verification Using Forms and Power Automate</t>
  </si>
  <si>
    <t>Collect monthly login confirmations and screenshots through automated forms workflow.</t>
  </si>
  <si>
    <t>Ensures active 1A access, reduces renewal costs, improves compliance.</t>
  </si>
  <si>
    <t>Case_Id29</t>
  </si>
  <si>
    <t>Rajesh</t>
  </si>
  <si>
    <t>Email Mail Merge for Asia Miles Adjustment Notification</t>
  </si>
  <si>
    <t>Automates sending personalized Asia Miles adjustment emails from Excel data with dynamic formatting and shared mailbox integration</t>
  </si>
  <si>
    <t>Saves time, reduces manual errors, and ensures consistent, accurate communication at scale.</t>
  </si>
  <si>
    <t>Case_Id30</t>
  </si>
  <si>
    <t>Automated Email Tracking and SLA Monitoring System for Shared Mailbox</t>
  </si>
  <si>
    <t>Captures incoming outgoing emails timestamps updates status enables SLA reporting</t>
  </si>
  <si>
    <t>Improves response visibility reduces delays ensures accountability enhances operational efficiency</t>
  </si>
  <si>
    <t>Chandrashekhar</t>
  </si>
  <si>
    <t>Automated Incoming Mail Tracker for Efficient Document Receipt Management</t>
  </si>
  <si>
    <t>Automatically captures, tracks, and organizes incoming mails and documents.</t>
  </si>
  <si>
    <t>Reduces manual effort, improves visibility, accuracy, and response times.</t>
  </si>
  <si>
    <t>Pravin</t>
  </si>
  <si>
    <t>Case_Id31</t>
  </si>
  <si>
    <t>Automated sorting of the Monthly Booking List (MBL) before handling.</t>
  </si>
  <si>
    <t>Automated sorting of Monthly Booking List improves efficiency and accuracy</t>
  </si>
  <si>
    <t>Improves efficiency and reduces manual effort by automating MBL sorting, enabling faster processing, standardized handling, and lower risk of errors.</t>
  </si>
  <si>
    <t>Case_Id32</t>
  </si>
  <si>
    <t>Automated Training Completion Tracking and Reminder System</t>
  </si>
  <si>
    <t>Automates training tracking, updates completion status, and sends reminders.</t>
  </si>
  <si>
    <t>Saves time, improves accuracy, ensures compliance, reduces manual effort.</t>
  </si>
  <si>
    <t>Zubin, Lilac, Shikha, Taruna</t>
  </si>
  <si>
    <t>PNR-based timer automation for efficient activity tracking and reporting system</t>
  </si>
  <si>
    <t>Automates start end timing captures PNR data validates inputs accurately</t>
  </si>
  <si>
    <t>Reduces manual errors improves accuracy saves time ensures reliable tracking</t>
  </si>
  <si>
    <t>Case_Id34</t>
  </si>
  <si>
    <t>Automated Medical Insurance Approval Workflow for Employee Confirmation Management System</t>
  </si>
  <si>
    <t>Monthly system identifies employees due and sends supervisor approval emails</t>
  </si>
  <si>
    <t xml:space="preserve">Reduces manual effort ensures timely decisions improves tracking and accuracy </t>
  </si>
  <si>
    <t>Backup</t>
  </si>
  <si>
    <t>Case_Id</t>
  </si>
  <si>
    <t>Incoming + Outgoing Mail Tracker</t>
  </si>
  <si>
    <t>+++</t>
  </si>
  <si>
    <t>Talent Hub course completion summary</t>
  </si>
  <si>
    <t>Form Branching technique</t>
  </si>
  <si>
    <t>IET time stamp</t>
  </si>
  <si>
    <t>----</t>
  </si>
  <si>
    <t>Reminder Mail of Automation feedback on weekly basis</t>
  </si>
  <si>
    <t>Onboarding Training Instruction</t>
  </si>
  <si>
    <t>Onboarding Training Closure mail</t>
  </si>
  <si>
    <t>RT WFH file sync &amp; compile</t>
  </si>
  <si>
    <t>Case_Id09</t>
  </si>
  <si>
    <t>PNR Tracker officeid, que wise</t>
  </si>
  <si>
    <t>Myweekly Report from Myfares 1.0</t>
  </si>
  <si>
    <t>Case_Id11</t>
  </si>
  <si>
    <t>Login &amp; Logout for WFH</t>
  </si>
  <si>
    <t xml:space="preserve">Talax CNL's one Tracking </t>
  </si>
  <si>
    <t>Automated Mandatory Training Compliance Tracker(recertification) using Excel Logic</t>
  </si>
  <si>
    <t>Case_Id17</t>
  </si>
  <si>
    <t>Automatically update the form responses in the training tracker using Power automate</t>
  </si>
  <si>
    <t>implemented using excel online &amp; Alternative can be achieved using spine</t>
  </si>
  <si>
    <t>Case_Id19 = Case_Id33</t>
  </si>
  <si>
    <t>recieved and looks same as Case_Id33 wrapped up in same App</t>
  </si>
  <si>
    <t>Data Compiler in one and share it with AM via Mail</t>
  </si>
  <si>
    <t>Checkin Mail Trigger New Joinee</t>
  </si>
  <si>
    <t xml:space="preserve">100 Days Past In-house Training Mail to the Supervisor </t>
  </si>
  <si>
    <t>Murillo Summerizer Amadeus Login based</t>
  </si>
  <si>
    <t>Automated Training Completion Tracking and Reminder System_"Yes"(sonal)</t>
  </si>
  <si>
    <t>Dept_Req.</t>
  </si>
  <si>
    <t>Impl. Year</t>
  </si>
  <si>
    <t>Impl. Month</t>
  </si>
  <si>
    <t>Process</t>
  </si>
  <si>
    <t>Automation</t>
  </si>
  <si>
    <t>Details</t>
  </si>
  <si>
    <t>Hours Saved</t>
  </si>
  <si>
    <t>Remarks</t>
  </si>
  <si>
    <t>Training_Lydia</t>
  </si>
  <si>
    <t>February</t>
  </si>
  <si>
    <t>Manually sending feedback emails to employees once a training session is completed.</t>
  </si>
  <si>
    <t>Automation of Training Feedback Forms :The automation streamlines the training feedback process by automatically sending feedback emails to employees once a training session is completed.</t>
  </si>
  <si>
    <t>Approx 14hrs/Month</t>
  </si>
  <si>
    <t>Manually Sending Onboarding Training Instruction to the new joiner.</t>
  </si>
  <si>
    <t>Automation of Onboarding Training Instruction: Automate the sending of the new joiner welcome email so it is triggered automatically and delivered to every employee on their date of joining.</t>
  </si>
  <si>
    <t>2hrs/cycle</t>
  </si>
  <si>
    <t>Fares_Sonal</t>
  </si>
  <si>
    <t>Manual drafting and sending reminder emails weekly without automation support</t>
  </si>
  <si>
    <t>Automated weekly reminder emails scheduled using Power Automate without intervention</t>
  </si>
  <si>
    <t>Saves time ensures consistency reduces dependency and improves communication efficiency</t>
  </si>
  <si>
    <t>10 min/week</t>
  </si>
  <si>
    <t>Manual data collection from systems and entering into Excel weekly</t>
  </si>
  <si>
    <t>Automated data transfer from Myfares system directly into Excel sheet</t>
  </si>
  <si>
    <t>Reduces manual entry saves time improves accuracy minimizes data errors</t>
  </si>
  <si>
    <t>20min/day</t>
  </si>
  <si>
    <t>March</t>
  </si>
  <si>
    <t>Onboarding Training - Closure: Automate an email to the new joiner marking the closure of his/her onboarding training.</t>
  </si>
  <si>
    <t>15mins/cycle</t>
  </si>
  <si>
    <t>Culture snippets are currently drafted and sent manually every Friday at 10:00 am via email. The activity is fully dependent on manual effort and requires that I am available at the scheduled time.</t>
  </si>
  <si>
    <t xml:space="preserve">Store culture snippets &amp; manage order, and auto-send Fridays 10 AM </t>
  </si>
  <si>
    <t>HR_Neha</t>
  </si>
  <si>
    <t>April</t>
  </si>
  <si>
    <t>Currently, 1‑month and 3‑month check‑in communications for new joiners are shared manually by the HR team via email. This process is proposed to be automated. Upon completion of 1 month of an employee’s tenure, an automated email will be triggered by HR to the respective Supervisor, Department Head, and HR Head.</t>
  </si>
  <si>
    <t>System automatically triggers standardized check-in emails based on employee joining dates to the Superviosr &amp; Assitant Manager</t>
  </si>
  <si>
    <t>10 min / per employee</t>
  </si>
  <si>
    <t>Supervisors updated training details in separate offline files.Files were downloaded, edited, and emailed back to Training Team.Multiple follow‑ups were required to track pending updates.Data had to be manually consolidated.</t>
  </si>
  <si>
    <t>14hrs saved per quarter</t>
  </si>
  <si>
    <t>Quizzes are shared via MS Forms, however marking, result consolidation, and report sharing are still done manually</t>
  </si>
  <si>
    <t>7 hours per quiz for 300 participants</t>
  </si>
  <si>
    <t>Culture Though For Today, Copilot@Work, and Auto Mate Corner emails remain in my Sent Items.Referring to older emails requires manual search in Outlook.</t>
  </si>
  <si>
    <t>10mins</t>
  </si>
  <si>
    <t>Fares_Vinod</t>
  </si>
  <si>
    <t>To maintain the data occupancy and other fare filing related data, multiple files are maintained.</t>
  </si>
  <si>
    <t>Monthly Fare Report Consolidation</t>
  </si>
  <si>
    <t>4.5 Hours</t>
  </si>
  <si>
    <t>There is no system-driven check on who last attended training or who is due, No fixed training frequency (e.g., every 60 days) is enforced per individual, Training tracking and  follow-ups are manual</t>
  </si>
  <si>
    <t>24 hours per month for 13 departments</t>
  </si>
  <si>
    <t>Manually managed contact repository using Excel spreadsheets and email communications.</t>
  </si>
  <si>
    <t>Automatically synchronize contacts between SharePoint lists ensuring complete, consistent information about active &amp; Deactive Id</t>
  </si>
  <si>
    <t>10 min</t>
  </si>
  <si>
    <t>Manual checking Forms and posting ideas to Teams channel manually</t>
  </si>
  <si>
    <t>Manual drafting and sending emails weekly required user effort every time</t>
  </si>
  <si>
    <t xml:space="preserve"> Using Power Automat Flow Structuringe flow design for Copilot Awarness </t>
  </si>
  <si>
    <t>Manual tracking of training compliance and recertification across teams individually</t>
  </si>
  <si>
    <t>Automated Mandatory Training Compliance Tracker(Recertification)</t>
  </si>
  <si>
    <t>Centralized Microsoft Lists tracker enables supervisors manage talent Hub training compliance automatically</t>
  </si>
  <si>
    <t>2.15hrs/cycle</t>
  </si>
  <si>
    <t>FOP_NCT_Mitra</t>
  </si>
  <si>
    <t>May</t>
  </si>
  <si>
    <t xml:space="preserve">Monthly Booking List (MBL) received for crew positioning was earlier manually rearranged by date, region, and priority before processing. </t>
  </si>
  <si>
    <t>Automated MBL sorting removed manual effort, improved consistency and speed</t>
  </si>
  <si>
    <t>1.15 Hours</t>
  </si>
  <si>
    <t>Fares_Sruthi</t>
  </si>
  <si>
    <t>Manual tracking of form responses and identifying non respondents after deadline</t>
  </si>
  <si>
    <t>Automates acknowledgment tracking generates reports highlights pending responses without manual effort</t>
  </si>
  <si>
    <t>Eliminates manual effort improves accuracy ensures visibility enables structured reporting scalability</t>
  </si>
  <si>
    <t xml:space="preserve">2.5 Hours </t>
  </si>
  <si>
    <t>Fares_Murillo</t>
  </si>
  <si>
    <t>Manual monthly email tracking and collecting screenshots from team members</t>
  </si>
  <si>
    <t>Automated monthly reminders collect responses and screenshots without manual follow ups</t>
  </si>
  <si>
    <t>Ensures compliance reduces effort improves tracking prevents access issues costs</t>
  </si>
  <si>
    <t>IET_Dusa</t>
  </si>
  <si>
    <t>June</t>
  </si>
  <si>
    <t>Manual tracking of emails timestamps updating status and monitoring SLA</t>
  </si>
  <si>
    <t>Automates email tracking timestamps updates status and monitors SLA performance</t>
  </si>
  <si>
    <t>Improves visibility reduces delays ensures accountability enhances overall operational efficiency</t>
  </si>
  <si>
    <r>
      <t xml:space="preserve">5 Hours </t>
    </r>
    <r>
      <rPr>
        <sz val="7"/>
        <color theme="1"/>
        <rFont val="Segoe UI"/>
        <family val="2"/>
      </rPr>
      <t>(depends on email volume)</t>
    </r>
  </si>
  <si>
    <t>ACQ_Muriel</t>
  </si>
  <si>
    <t>Manual email creation copying data and sending messages individually</t>
  </si>
  <si>
    <t>Automates mail merge sending personalized emails from Excel dynamically</t>
  </si>
  <si>
    <t>Saves time reduces errors ensures consistency enables large scale communication</t>
  </si>
  <si>
    <t xml:space="preserve">1min/mail </t>
  </si>
  <si>
    <t>Training_Sonal</t>
  </si>
  <si>
    <t>Tracking training completion status and managing reminders for pending employees</t>
  </si>
  <si>
    <t>Automated form integration updates status and triggers reminder emails instantly</t>
  </si>
  <si>
    <t>Enhances efficiency, reduces errors, ensures compliance and improves operational productivity</t>
  </si>
  <si>
    <t>6 times/month</t>
  </si>
  <si>
    <t>QC_Lilac,Taruna,Zubin</t>
  </si>
  <si>
    <t>Manual PNR-based task tracking with time capture and duration calculation</t>
  </si>
  <si>
    <t>PNR timer automation replacing manual tracking and improving operational efficiency</t>
  </si>
  <si>
    <t>Captures activity duration automatically eliminating manual logging and calculation efforts</t>
  </si>
  <si>
    <t>27 hours/month</t>
  </si>
  <si>
    <t>Manual tracking emails follow-ups delays approvals lack transparency high effort inefficient</t>
  </si>
  <si>
    <t>July</t>
  </si>
  <si>
    <t>Manually tracked employee recertifications using spreadsheets emails and follow-ups</t>
  </si>
  <si>
    <t>Automated monthly training compliance tracking and supervisor notification process</t>
  </si>
  <si>
    <t>Centralized tracker sends reminders ensuring timely training completion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</si>
</sst>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5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Segoe UI"/>
      <charset val="1"/>
    </font>
    <font>
      <sz val="11"/>
      <color rgb="FFFF0000"/>
      <name val="Calibri"/>
      <scheme val="minor"/>
    </font>
    <font>
      <sz val="11"/>
      <color rgb="FFFF0000"/>
      <name val="Calibri"/>
      <family val="2"/>
    </font>
    <font>
      <sz val="11"/>
      <color rgb="FF000000"/>
      <name val="Segoe UI"/>
      <charset val="1"/>
    </font>
    <font>
      <b/>
      <sz val="9"/>
      <color theme="1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Segoe UI"/>
      <family val="2"/>
    </font>
    <font>
      <sz val="7"/>
      <color rgb="FF000000"/>
      <name val="Calibri"/>
      <family val="2"/>
      <scheme val="minor"/>
    </font>
    <font>
      <sz val="7"/>
      <color rgb="FF242424"/>
      <name val="Calibri"/>
      <family val="2"/>
      <scheme val="minor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164" fontId="3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2" fillId="0" borderId="0" xfId="0" applyFont="1"/>
    <xf numFmtId="14" fontId="4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/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0" fillId="0" borderId="3" xfId="0" applyBorder="1"/>
    <xf numFmtId="0" fontId="11" fillId="0" borderId="0" xfId="0" applyFont="1"/>
    <xf numFmtId="0" fontId="12" fillId="0" borderId="0" xfId="0" applyFont="1"/>
    <xf numFmtId="0" fontId="11" fillId="0" borderId="1" xfId="0" applyFont="1" applyBorder="1"/>
    <xf numFmtId="0" fontId="11" fillId="0" borderId="3" xfId="0" applyFont="1" applyBorder="1"/>
    <xf numFmtId="0" fontId="13" fillId="0" borderId="0" xfId="0" applyFont="1"/>
    <xf numFmtId="0" fontId="0" fillId="3" borderId="0" xfId="0" applyFill="1" applyAlignment="1">
      <alignment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2" fillId="3" borderId="0" xfId="0" applyFont="1" applyFill="1"/>
    <xf numFmtId="0" fontId="10" fillId="0" borderId="0" xfId="0" applyFont="1"/>
    <xf numFmtId="0" fontId="15" fillId="0" borderId="3" xfId="0" applyFont="1" applyBorder="1"/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20" fontId="18" fillId="0" borderId="0" xfId="0" applyNumberFormat="1" applyFont="1"/>
    <xf numFmtId="0" fontId="22" fillId="0" borderId="3" xfId="0" applyFont="1" applyBorder="1"/>
    <xf numFmtId="0" fontId="0" fillId="0" borderId="6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/>
  </cellXfs>
  <cellStyles count="1">
    <cellStyle name="Normal" xfId="0" builtinId="0"/>
  </cellStyles>
  <dxfs count="10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29E7-BFB2-4BCE-B3E1-958F9A894866}">
  <dimension ref="A1:Q45"/>
  <sheetViews>
    <sheetView topLeftCell="I1" zoomScale="92" workbookViewId="0">
      <pane ySplit="1" topLeftCell="I2" activePane="bottomLeft" state="frozen"/>
      <selection pane="bottomLeft" activeCell="E35" sqref="E35"/>
      <selection activeCell="I1" sqref="I1"/>
    </sheetView>
  </sheetViews>
  <sheetFormatPr defaultRowHeight="15" customHeight="1"/>
  <cols>
    <col min="1" max="1" width="3.28515625" style="1" bestFit="1" customWidth="1"/>
    <col min="2" max="2" width="12.85546875" style="8" customWidth="1"/>
    <col min="3" max="3" width="6.7109375" customWidth="1"/>
    <col min="4" max="4" width="11.140625" style="7" bestFit="1" customWidth="1"/>
    <col min="5" max="5" width="21.140625" customWidth="1"/>
    <col min="6" max="6" width="79.7109375" customWidth="1"/>
    <col min="7" max="7" width="55.28515625" bestFit="1" customWidth="1"/>
    <col min="9" max="9" width="46.28515625" customWidth="1"/>
    <col min="10" max="10" width="18" customWidth="1"/>
    <col min="11" max="11" width="11.140625" style="7" bestFit="1" customWidth="1"/>
    <col min="12" max="12" width="11.140625" style="7" customWidth="1"/>
    <col min="13" max="13" width="89.42578125" customWidth="1"/>
    <col min="14" max="14" width="13.7109375" customWidth="1"/>
    <col min="15" max="15" width="10.28515625" style="8" bestFit="1" customWidth="1"/>
    <col min="16" max="16" width="12.5703125" style="8" customWidth="1"/>
    <col min="17" max="17" width="9.140625" style="8"/>
  </cols>
  <sheetData>
    <row r="1" spans="1:17">
      <c r="A1" s="2" t="s">
        <v>0</v>
      </c>
      <c r="B1" s="29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2" t="s">
        <v>12</v>
      </c>
    </row>
    <row r="2" spans="1:17">
      <c r="A2" s="3">
        <v>1</v>
      </c>
      <c r="B2" s="30" t="s">
        <v>13</v>
      </c>
      <c r="C2" s="3" t="str">
        <f>TEXT(D2,"MMM")</f>
        <v>Jan</v>
      </c>
      <c r="D2" s="6">
        <v>46399</v>
      </c>
      <c r="E2" s="3" t="s">
        <v>14</v>
      </c>
      <c r="F2" s="20" t="s">
        <v>15</v>
      </c>
      <c r="G2" s="3" t="s">
        <v>16</v>
      </c>
      <c r="H2" s="4" t="s">
        <v>17</v>
      </c>
      <c r="I2" s="3" t="s">
        <v>18</v>
      </c>
      <c r="J2" s="4" t="s">
        <v>19</v>
      </c>
      <c r="K2" s="6">
        <v>46041</v>
      </c>
      <c r="L2" s="13" t="s">
        <v>20</v>
      </c>
      <c r="M2" s="3"/>
      <c r="P2" s="14"/>
      <c r="Q2" s="9"/>
    </row>
    <row r="3" spans="1:17">
      <c r="A3" s="3">
        <v>2</v>
      </c>
      <c r="B3" s="30" t="s">
        <v>13</v>
      </c>
      <c r="C3" s="3" t="str">
        <f t="shared" ref="C3:C17" si="0">TEXT(D3,"MMM")</f>
        <v>Jan</v>
      </c>
      <c r="D3" s="6">
        <v>46042</v>
      </c>
      <c r="E3" s="3" t="s">
        <v>14</v>
      </c>
      <c r="F3" s="20" t="s">
        <v>21</v>
      </c>
      <c r="G3" s="3" t="s">
        <v>22</v>
      </c>
      <c r="H3" s="4" t="s">
        <v>17</v>
      </c>
      <c r="I3" s="3" t="s">
        <v>23</v>
      </c>
      <c r="J3" s="4" t="s">
        <v>19</v>
      </c>
      <c r="K3" s="6">
        <v>46043</v>
      </c>
      <c r="L3" s="13" t="s">
        <v>20</v>
      </c>
      <c r="M3" s="3"/>
      <c r="P3" s="15"/>
    </row>
    <row r="4" spans="1:17">
      <c r="A4" s="3">
        <v>3</v>
      </c>
      <c r="B4" s="30" t="s">
        <v>13</v>
      </c>
      <c r="C4" s="3" t="str">
        <f t="shared" si="0"/>
        <v>Jan</v>
      </c>
      <c r="D4" s="6">
        <v>46043</v>
      </c>
      <c r="E4" s="3" t="s">
        <v>14</v>
      </c>
      <c r="F4" s="20" t="s">
        <v>24</v>
      </c>
      <c r="G4" s="3" t="s">
        <v>25</v>
      </c>
      <c r="H4" s="4" t="s">
        <v>17</v>
      </c>
      <c r="I4" s="3" t="s">
        <v>26</v>
      </c>
      <c r="J4" s="4" t="s">
        <v>19</v>
      </c>
      <c r="K4" s="6">
        <v>46045</v>
      </c>
      <c r="L4" s="13" t="s">
        <v>20</v>
      </c>
      <c r="M4" s="3"/>
      <c r="P4" s="16"/>
    </row>
    <row r="5" spans="1:17">
      <c r="A5" s="3">
        <v>4</v>
      </c>
      <c r="B5" s="30" t="s">
        <v>13</v>
      </c>
      <c r="C5" s="3" t="str">
        <f>TEXT(D5,"MMM")</f>
        <v>Feb</v>
      </c>
      <c r="D5" s="6">
        <v>46078</v>
      </c>
      <c r="E5" s="3" t="s">
        <v>27</v>
      </c>
      <c r="F5" s="20" t="s">
        <v>24</v>
      </c>
      <c r="G5" s="3" t="s">
        <v>28</v>
      </c>
      <c r="H5" s="4" t="s">
        <v>17</v>
      </c>
      <c r="I5" s="3" t="s">
        <v>29</v>
      </c>
      <c r="J5" s="4" t="s">
        <v>19</v>
      </c>
      <c r="K5" s="6">
        <v>46056</v>
      </c>
      <c r="L5" s="13" t="s">
        <v>20</v>
      </c>
      <c r="M5" s="3"/>
    </row>
    <row r="6" spans="1:17">
      <c r="A6" s="3">
        <v>5</v>
      </c>
      <c r="B6" s="31" t="s">
        <v>30</v>
      </c>
      <c r="C6" s="3" t="str">
        <f t="shared" si="0"/>
        <v>Feb</v>
      </c>
      <c r="D6" s="6">
        <v>46065</v>
      </c>
      <c r="E6" s="3" t="s">
        <v>31</v>
      </c>
      <c r="F6" s="20" t="s">
        <v>32</v>
      </c>
      <c r="G6" s="3" t="s">
        <v>33</v>
      </c>
      <c r="H6" s="4" t="s">
        <v>17</v>
      </c>
      <c r="I6" s="3" t="s">
        <v>34</v>
      </c>
      <c r="J6" s="4" t="s">
        <v>19</v>
      </c>
      <c r="K6" s="6">
        <v>46065</v>
      </c>
      <c r="L6" s="13" t="s">
        <v>20</v>
      </c>
      <c r="M6" s="3"/>
    </row>
    <row r="7" spans="1:17">
      <c r="A7" s="3">
        <v>6</v>
      </c>
      <c r="B7" s="31" t="s">
        <v>35</v>
      </c>
      <c r="C7" s="3" t="str">
        <f>TEXT(D7,"MMM")</f>
        <v>Feb</v>
      </c>
      <c r="D7" s="6">
        <v>46076</v>
      </c>
      <c r="E7" s="3" t="s">
        <v>31</v>
      </c>
      <c r="F7" s="20" t="s">
        <v>36</v>
      </c>
      <c r="G7" s="3" t="s">
        <v>37</v>
      </c>
      <c r="H7" s="4" t="s">
        <v>17</v>
      </c>
      <c r="I7" s="3" t="s">
        <v>38</v>
      </c>
      <c r="J7" s="4" t="s">
        <v>19</v>
      </c>
      <c r="K7" s="6">
        <v>46075</v>
      </c>
      <c r="L7" s="13" t="s">
        <v>20</v>
      </c>
      <c r="M7" s="3"/>
    </row>
    <row r="8" spans="1:17">
      <c r="A8" s="3">
        <v>7</v>
      </c>
      <c r="B8" s="8" t="s">
        <v>39</v>
      </c>
      <c r="C8" s="3" t="str">
        <f t="shared" si="0"/>
        <v>Feb</v>
      </c>
      <c r="D8" s="6">
        <v>46069</v>
      </c>
      <c r="E8" s="3" t="s">
        <v>40</v>
      </c>
      <c r="F8" s="20" t="s">
        <v>41</v>
      </c>
      <c r="G8" s="3" t="s">
        <v>42</v>
      </c>
      <c r="H8" s="4" t="s">
        <v>17</v>
      </c>
      <c r="I8" s="3" t="s">
        <v>43</v>
      </c>
      <c r="J8" s="4" t="s">
        <v>19</v>
      </c>
      <c r="K8" s="6">
        <v>46083</v>
      </c>
      <c r="L8" s="17" t="s">
        <v>44</v>
      </c>
      <c r="M8" s="3"/>
    </row>
    <row r="9" spans="1:17">
      <c r="A9" s="3">
        <v>8</v>
      </c>
      <c r="B9" s="31" t="s">
        <v>45</v>
      </c>
      <c r="C9" s="3" t="str">
        <f t="shared" si="0"/>
        <v>Feb</v>
      </c>
      <c r="D9" s="6">
        <v>46076</v>
      </c>
      <c r="E9" s="3" t="s">
        <v>27</v>
      </c>
      <c r="F9" s="20" t="s">
        <v>46</v>
      </c>
      <c r="G9" s="3" t="s">
        <v>47</v>
      </c>
      <c r="H9" s="4" t="s">
        <v>17</v>
      </c>
      <c r="I9" s="3" t="s">
        <v>48</v>
      </c>
      <c r="J9" s="4" t="s">
        <v>19</v>
      </c>
      <c r="K9" s="6">
        <v>46114</v>
      </c>
      <c r="L9" s="13" t="s">
        <v>20</v>
      </c>
      <c r="M9" s="12" t="s">
        <v>49</v>
      </c>
    </row>
    <row r="10" spans="1:17">
      <c r="A10" s="3">
        <v>9</v>
      </c>
      <c r="B10" s="32" t="s">
        <v>50</v>
      </c>
      <c r="C10" s="3" t="str">
        <f t="shared" si="0"/>
        <v>Feb</v>
      </c>
      <c r="D10" s="6">
        <v>46076</v>
      </c>
      <c r="E10" s="3" t="s">
        <v>51</v>
      </c>
      <c r="F10" s="20" t="s">
        <v>52</v>
      </c>
      <c r="G10" s="3" t="s">
        <v>53</v>
      </c>
      <c r="H10" s="4" t="s">
        <v>17</v>
      </c>
      <c r="I10" s="3" t="s">
        <v>54</v>
      </c>
      <c r="J10" s="4" t="s">
        <v>19</v>
      </c>
      <c r="K10" s="6">
        <v>46085</v>
      </c>
      <c r="L10" s="17" t="s">
        <v>44</v>
      </c>
      <c r="M10" s="3"/>
    </row>
    <row r="11" spans="1:17">
      <c r="A11" s="3">
        <v>10</v>
      </c>
      <c r="B11" s="30" t="s">
        <v>55</v>
      </c>
      <c r="C11" s="3" t="str">
        <f t="shared" si="0"/>
        <v>Feb</v>
      </c>
      <c r="D11" s="6">
        <v>46077</v>
      </c>
      <c r="E11" s="3" t="s">
        <v>56</v>
      </c>
      <c r="F11" s="20" t="s">
        <v>57</v>
      </c>
      <c r="G11" s="3" t="s">
        <v>58</v>
      </c>
      <c r="H11" s="4" t="s">
        <v>17</v>
      </c>
      <c r="I11" s="3" t="s">
        <v>59</v>
      </c>
      <c r="J11" s="4" t="s">
        <v>19</v>
      </c>
      <c r="K11" s="6">
        <v>46087</v>
      </c>
      <c r="L11" s="13" t="s">
        <v>20</v>
      </c>
      <c r="M11" s="3" t="s">
        <v>60</v>
      </c>
    </row>
    <row r="12" spans="1:17">
      <c r="A12" s="3">
        <v>11</v>
      </c>
      <c r="B12" s="31" t="s">
        <v>61</v>
      </c>
      <c r="C12" s="3" t="str">
        <f t="shared" si="0"/>
        <v>Feb</v>
      </c>
      <c r="D12" s="6">
        <v>46078</v>
      </c>
      <c r="E12" s="3" t="s">
        <v>62</v>
      </c>
      <c r="F12" s="20" t="s">
        <v>63</v>
      </c>
      <c r="G12" s="3" t="s">
        <v>64</v>
      </c>
      <c r="H12" s="4" t="s">
        <v>17</v>
      </c>
      <c r="I12" s="3" t="s">
        <v>65</v>
      </c>
      <c r="J12" s="4" t="s">
        <v>19</v>
      </c>
      <c r="K12" s="6">
        <v>46055</v>
      </c>
      <c r="L12" s="13" t="s">
        <v>20</v>
      </c>
      <c r="M12" s="3"/>
    </row>
    <row r="13" spans="1:17">
      <c r="A13" s="3">
        <v>12</v>
      </c>
      <c r="B13" s="30" t="s">
        <v>66</v>
      </c>
      <c r="C13" s="3" t="str">
        <f t="shared" si="0"/>
        <v>Mar</v>
      </c>
      <c r="D13" s="7">
        <v>46083</v>
      </c>
      <c r="E13" t="s">
        <v>67</v>
      </c>
      <c r="F13" s="21" t="s">
        <v>68</v>
      </c>
      <c r="G13" t="s">
        <v>69</v>
      </c>
      <c r="H13" s="4" t="s">
        <v>17</v>
      </c>
      <c r="I13" t="s">
        <v>70</v>
      </c>
      <c r="J13" s="4" t="s">
        <v>19</v>
      </c>
      <c r="K13" s="6">
        <v>46090</v>
      </c>
      <c r="L13" s="13" t="s">
        <v>20</v>
      </c>
    </row>
    <row r="14" spans="1:17">
      <c r="A14" s="3">
        <v>13</v>
      </c>
      <c r="B14" s="32" t="s">
        <v>50</v>
      </c>
      <c r="C14" s="3" t="str">
        <f t="shared" si="0"/>
        <v>Mar</v>
      </c>
      <c r="D14" s="7">
        <v>46083</v>
      </c>
      <c r="E14" t="s">
        <v>31</v>
      </c>
      <c r="F14" s="21" t="s">
        <v>71</v>
      </c>
      <c r="G14" t="s">
        <v>72</v>
      </c>
      <c r="H14" s="4" t="s">
        <v>17</v>
      </c>
      <c r="I14" t="s">
        <v>73</v>
      </c>
      <c r="J14" s="4" t="s">
        <v>19</v>
      </c>
      <c r="K14" s="6">
        <v>46087</v>
      </c>
      <c r="L14" s="13" t="s">
        <v>20</v>
      </c>
    </row>
    <row r="15" spans="1:17">
      <c r="A15" s="3">
        <v>14</v>
      </c>
      <c r="B15" s="30" t="s">
        <v>74</v>
      </c>
      <c r="C15" s="3" t="str">
        <f t="shared" si="0"/>
        <v>Mar</v>
      </c>
      <c r="D15" s="7">
        <v>46083</v>
      </c>
      <c r="E15" t="s">
        <v>31</v>
      </c>
      <c r="F15" s="21" t="s">
        <v>75</v>
      </c>
      <c r="G15" t="s">
        <v>76</v>
      </c>
      <c r="H15" s="4" t="s">
        <v>17</v>
      </c>
      <c r="I15" t="s">
        <v>77</v>
      </c>
      <c r="J15" s="4" t="s">
        <v>19</v>
      </c>
      <c r="K15" s="6">
        <v>46090</v>
      </c>
      <c r="L15" s="13" t="s">
        <v>20</v>
      </c>
    </row>
    <row r="16" spans="1:17">
      <c r="A16" s="3">
        <v>15</v>
      </c>
      <c r="B16" s="30" t="s">
        <v>66</v>
      </c>
      <c r="C16" s="3" t="str">
        <f t="shared" si="0"/>
        <v>Mar</v>
      </c>
      <c r="D16" s="7">
        <v>46083</v>
      </c>
      <c r="E16" t="s">
        <v>78</v>
      </c>
      <c r="F16" s="21" t="s">
        <v>79</v>
      </c>
      <c r="G16" t="s">
        <v>80</v>
      </c>
      <c r="H16" s="4" t="s">
        <v>17</v>
      </c>
      <c r="I16" t="s">
        <v>81</v>
      </c>
      <c r="J16" s="4" t="s">
        <v>19</v>
      </c>
      <c r="K16" s="7">
        <v>46091</v>
      </c>
      <c r="L16" s="13" t="s">
        <v>20</v>
      </c>
    </row>
    <row r="17" spans="1:15">
      <c r="A17" s="1">
        <v>16</v>
      </c>
      <c r="B17" s="30" t="s">
        <v>82</v>
      </c>
      <c r="C17" s="3" t="str">
        <f>TEXT(D17,"MMM")</f>
        <v>Mar</v>
      </c>
      <c r="D17" s="7">
        <v>46094</v>
      </c>
      <c r="E17" t="s">
        <v>31</v>
      </c>
      <c r="F17" s="21" t="s">
        <v>83</v>
      </c>
      <c r="G17" t="s">
        <v>84</v>
      </c>
      <c r="H17" s="4" t="s">
        <v>17</v>
      </c>
      <c r="I17" t="s">
        <v>85</v>
      </c>
      <c r="J17" s="4" t="s">
        <v>19</v>
      </c>
      <c r="K17" s="7">
        <v>46101</v>
      </c>
      <c r="L17" s="13" t="s">
        <v>20</v>
      </c>
    </row>
    <row r="18" spans="1:15" ht="15" customHeight="1">
      <c r="A18" s="1">
        <v>17</v>
      </c>
      <c r="B18" s="30" t="s">
        <v>86</v>
      </c>
      <c r="C18" t="str">
        <f>TEXT(D18,"MMM")</f>
        <v>Mar</v>
      </c>
      <c r="D18" s="7">
        <v>46099</v>
      </c>
      <c r="E18" t="s">
        <v>87</v>
      </c>
      <c r="F18" s="21" t="s">
        <v>88</v>
      </c>
      <c r="G18" t="s">
        <v>89</v>
      </c>
      <c r="H18" s="4" t="s">
        <v>17</v>
      </c>
      <c r="I18" t="s">
        <v>90</v>
      </c>
      <c r="J18" s="4" t="s">
        <v>19</v>
      </c>
      <c r="K18" s="7">
        <v>46104</v>
      </c>
      <c r="L18" s="13" t="s">
        <v>20</v>
      </c>
    </row>
    <row r="19" spans="1:15" ht="15" customHeight="1">
      <c r="A19" s="1">
        <v>18</v>
      </c>
      <c r="B19" s="33" t="s">
        <v>50</v>
      </c>
      <c r="C19" t="str">
        <f>TEXT(D19,"MMM")</f>
        <v>Mar</v>
      </c>
      <c r="D19" s="7">
        <v>46101</v>
      </c>
      <c r="E19" t="s">
        <v>31</v>
      </c>
      <c r="F19" s="21" t="s">
        <v>91</v>
      </c>
      <c r="G19" t="s">
        <v>92</v>
      </c>
      <c r="H19" s="4" t="s">
        <v>17</v>
      </c>
      <c r="I19" t="s">
        <v>93</v>
      </c>
      <c r="J19" s="4" t="s">
        <v>19</v>
      </c>
      <c r="K19" s="7">
        <v>46101</v>
      </c>
      <c r="L19" s="13" t="s">
        <v>20</v>
      </c>
      <c r="M19" t="s">
        <v>94</v>
      </c>
    </row>
    <row r="20" spans="1:15" ht="15" customHeight="1">
      <c r="A20" s="1">
        <v>19</v>
      </c>
      <c r="B20" s="33" t="s">
        <v>50</v>
      </c>
      <c r="C20" t="str">
        <f>TEXT(D20,"MMM")</f>
        <v>Mar</v>
      </c>
      <c r="D20" s="7">
        <v>46093</v>
      </c>
      <c r="E20" t="s">
        <v>62</v>
      </c>
      <c r="F20" s="21" t="s">
        <v>95</v>
      </c>
      <c r="G20" t="s">
        <v>96</v>
      </c>
      <c r="H20" s="4" t="s">
        <v>17</v>
      </c>
      <c r="I20" t="s">
        <v>97</v>
      </c>
      <c r="J20" t="s">
        <v>98</v>
      </c>
      <c r="K20" s="7">
        <v>46093</v>
      </c>
      <c r="L20" s="13" t="s">
        <v>20</v>
      </c>
      <c r="M20" t="s">
        <v>99</v>
      </c>
    </row>
    <row r="21" spans="1:15" ht="15" customHeight="1">
      <c r="A21" s="1">
        <v>20</v>
      </c>
      <c r="B21" s="30" t="s">
        <v>100</v>
      </c>
      <c r="C21" t="str">
        <f>TEXT(D21,"MMM")</f>
        <v>Mar</v>
      </c>
      <c r="D21" s="7">
        <v>46104</v>
      </c>
      <c r="E21" t="s">
        <v>101</v>
      </c>
      <c r="F21" s="21" t="s">
        <v>102</v>
      </c>
      <c r="G21" t="s">
        <v>103</v>
      </c>
      <c r="H21" s="4" t="s">
        <v>17</v>
      </c>
      <c r="I21" t="s">
        <v>104</v>
      </c>
      <c r="J21" s="4" t="s">
        <v>19</v>
      </c>
      <c r="K21" s="7">
        <v>46105</v>
      </c>
      <c r="L21" s="13" t="s">
        <v>20</v>
      </c>
      <c r="M21" t="s">
        <v>105</v>
      </c>
    </row>
    <row r="22" spans="1:15" ht="15" customHeight="1">
      <c r="A22" s="1">
        <v>21</v>
      </c>
      <c r="B22" s="30" t="s">
        <v>106</v>
      </c>
      <c r="C22" t="str">
        <f>TEXT(D22,"MMM")</f>
        <v>Apr</v>
      </c>
      <c r="D22" s="7">
        <v>46115</v>
      </c>
      <c r="E22" t="s">
        <v>31</v>
      </c>
      <c r="F22" s="21" t="s">
        <v>107</v>
      </c>
      <c r="G22" t="s">
        <v>108</v>
      </c>
      <c r="H22" s="4" t="s">
        <v>17</v>
      </c>
      <c r="I22" t="s">
        <v>109</v>
      </c>
      <c r="J22" s="4" t="s">
        <v>19</v>
      </c>
      <c r="K22" s="7">
        <v>46216</v>
      </c>
      <c r="L22" s="13" t="s">
        <v>20</v>
      </c>
    </row>
    <row r="23" spans="1:15" ht="15" customHeight="1">
      <c r="A23" s="1">
        <v>22</v>
      </c>
      <c r="B23" s="30" t="s">
        <v>110</v>
      </c>
      <c r="C23" t="str">
        <f>TEXT(D23,"MMM")</f>
        <v>Apr</v>
      </c>
      <c r="D23" s="7">
        <v>46120</v>
      </c>
      <c r="E23" t="s">
        <v>31</v>
      </c>
      <c r="F23" s="21" t="s">
        <v>111</v>
      </c>
      <c r="G23" t="s">
        <v>112</v>
      </c>
      <c r="H23" s="4" t="s">
        <v>17</v>
      </c>
      <c r="I23" t="s">
        <v>113</v>
      </c>
      <c r="J23" s="4" t="s">
        <v>19</v>
      </c>
      <c r="K23" s="7">
        <v>46133</v>
      </c>
      <c r="L23" s="13" t="s">
        <v>20</v>
      </c>
    </row>
    <row r="24" spans="1:15" ht="15" customHeight="1">
      <c r="A24" s="1">
        <v>23</v>
      </c>
      <c r="B24" s="8" t="s">
        <v>114</v>
      </c>
      <c r="C24" t="str">
        <f>TEXT(D24,"MMM")</f>
        <v>Apr</v>
      </c>
      <c r="D24" s="7">
        <v>46121</v>
      </c>
      <c r="E24" t="s">
        <v>31</v>
      </c>
      <c r="F24" s="21" t="s">
        <v>115</v>
      </c>
      <c r="G24" t="s">
        <v>116</v>
      </c>
      <c r="H24" s="4" t="s">
        <v>17</v>
      </c>
      <c r="I24" t="s">
        <v>117</v>
      </c>
      <c r="J24" s="4" t="s">
        <v>19</v>
      </c>
      <c r="K24" s="7">
        <v>46121</v>
      </c>
      <c r="L24" s="13" t="s">
        <v>20</v>
      </c>
      <c r="M24" s="10" t="s">
        <v>118</v>
      </c>
      <c r="O24" s="38"/>
    </row>
    <row r="25" spans="1:15" ht="15" customHeight="1">
      <c r="A25" s="1">
        <v>24</v>
      </c>
      <c r="B25" s="8" t="s">
        <v>119</v>
      </c>
      <c r="C25" t="str">
        <f>TEXT(D25,"MMM")</f>
        <v>Apr</v>
      </c>
      <c r="D25" s="7">
        <v>46128</v>
      </c>
      <c r="E25" t="s">
        <v>120</v>
      </c>
      <c r="F25" s="21" t="s">
        <v>121</v>
      </c>
      <c r="G25" t="s">
        <v>122</v>
      </c>
      <c r="H25" s="4" t="s">
        <v>17</v>
      </c>
      <c r="I25" t="s">
        <v>123</v>
      </c>
      <c r="J25" s="4" t="s">
        <v>19</v>
      </c>
      <c r="K25" s="7">
        <v>46128</v>
      </c>
      <c r="L25" s="13" t="s">
        <v>20</v>
      </c>
      <c r="M25" t="s">
        <v>124</v>
      </c>
    </row>
    <row r="26" spans="1:15" ht="15" customHeight="1">
      <c r="A26" s="1">
        <v>25</v>
      </c>
      <c r="B26" s="8" t="s">
        <v>45</v>
      </c>
      <c r="C26" t="str">
        <f>TEXT(D26,"MMM")</f>
        <v>Apr</v>
      </c>
      <c r="D26" s="7">
        <v>46129</v>
      </c>
      <c r="E26" t="s">
        <v>125</v>
      </c>
      <c r="F26" s="21" t="s">
        <v>126</v>
      </c>
      <c r="G26" t="s">
        <v>127</v>
      </c>
      <c r="H26" s="4" t="s">
        <v>17</v>
      </c>
      <c r="I26" t="s">
        <v>128</v>
      </c>
      <c r="J26" s="4" t="s">
        <v>19</v>
      </c>
      <c r="K26" s="7">
        <v>46192</v>
      </c>
      <c r="L26" s="13" t="s">
        <v>20</v>
      </c>
    </row>
    <row r="27" spans="1:15" ht="15" customHeight="1">
      <c r="A27" s="1">
        <v>26</v>
      </c>
      <c r="B27" s="8" t="s">
        <v>129</v>
      </c>
      <c r="C27" t="str">
        <f>TEXT(D27,"MMM")</f>
        <v>Apr</v>
      </c>
      <c r="D27" s="7">
        <v>46133</v>
      </c>
      <c r="E27" t="s">
        <v>62</v>
      </c>
      <c r="F27" s="21" t="s">
        <v>130</v>
      </c>
      <c r="G27" s="24" t="s">
        <v>131</v>
      </c>
      <c r="H27" s="4" t="s">
        <v>17</v>
      </c>
      <c r="I27" s="24" t="s">
        <v>132</v>
      </c>
      <c r="J27" s="4" t="s">
        <v>19</v>
      </c>
      <c r="K27" s="7">
        <v>46133</v>
      </c>
      <c r="L27" s="13" t="s">
        <v>20</v>
      </c>
    </row>
    <row r="28" spans="1:15" ht="15" customHeight="1">
      <c r="A28" s="1">
        <v>27</v>
      </c>
      <c r="B28" s="8" t="s">
        <v>133</v>
      </c>
      <c r="C28" t="str">
        <f>TEXT(D28,"MMM")</f>
        <v>Apr</v>
      </c>
      <c r="D28" s="7">
        <v>46136</v>
      </c>
      <c r="E28" t="s">
        <v>31</v>
      </c>
      <c r="F28" s="21" t="s">
        <v>134</v>
      </c>
      <c r="G28" s="24" t="s">
        <v>135</v>
      </c>
      <c r="H28" s="4" t="s">
        <v>17</v>
      </c>
      <c r="I28" s="24" t="s">
        <v>136</v>
      </c>
      <c r="J28" s="4" t="s">
        <v>19</v>
      </c>
      <c r="K28" s="7">
        <v>46136</v>
      </c>
      <c r="L28" s="13" t="s">
        <v>20</v>
      </c>
    </row>
    <row r="29" spans="1:15" ht="15" customHeight="1">
      <c r="A29" s="1">
        <v>28</v>
      </c>
      <c r="B29" s="8" t="s">
        <v>137</v>
      </c>
      <c r="C29" t="str">
        <f>TEXT(D29,"MMM")</f>
        <v>Apr</v>
      </c>
      <c r="D29" s="7">
        <v>46128</v>
      </c>
      <c r="E29" t="s">
        <v>31</v>
      </c>
      <c r="F29" s="28" t="s">
        <v>138</v>
      </c>
      <c r="G29" s="24" t="s">
        <v>139</v>
      </c>
      <c r="H29" s="4" t="s">
        <v>17</v>
      </c>
      <c r="I29" s="24" t="s">
        <v>140</v>
      </c>
      <c r="J29" s="4" t="s">
        <v>19</v>
      </c>
      <c r="K29" s="7">
        <v>46140</v>
      </c>
      <c r="L29" s="13" t="s">
        <v>20</v>
      </c>
    </row>
    <row r="30" spans="1:15" ht="15" customHeight="1">
      <c r="A30" s="1">
        <v>29</v>
      </c>
      <c r="B30" s="8" t="s">
        <v>141</v>
      </c>
      <c r="C30" t="str">
        <f t="shared" ref="C30:C45" si="1">TEXT(D30,"MMM")</f>
        <v>Apr</v>
      </c>
      <c r="D30" s="7">
        <v>46133</v>
      </c>
      <c r="E30" t="s">
        <v>31</v>
      </c>
      <c r="F30" s="21" t="s">
        <v>142</v>
      </c>
      <c r="G30" t="s">
        <v>143</v>
      </c>
      <c r="H30" s="4" t="s">
        <v>17</v>
      </c>
      <c r="I30" t="s">
        <v>144</v>
      </c>
      <c r="J30" s="4" t="s">
        <v>19</v>
      </c>
      <c r="K30" s="7">
        <v>46141</v>
      </c>
      <c r="L30" s="13" t="s">
        <v>20</v>
      </c>
    </row>
    <row r="31" spans="1:15" ht="15" customHeight="1">
      <c r="A31" s="1">
        <v>30</v>
      </c>
      <c r="B31" s="8" t="s">
        <v>145</v>
      </c>
      <c r="C31" t="str">
        <f t="shared" si="1"/>
        <v>Apr</v>
      </c>
      <c r="D31" s="7">
        <v>46134</v>
      </c>
      <c r="E31" t="s">
        <v>67</v>
      </c>
      <c r="F31" s="59" t="s">
        <v>146</v>
      </c>
      <c r="G31" t="s">
        <v>147</v>
      </c>
      <c r="H31" s="4" t="s">
        <v>17</v>
      </c>
      <c r="I31" t="s">
        <v>148</v>
      </c>
      <c r="J31" s="4" t="s">
        <v>19</v>
      </c>
      <c r="K31" s="7">
        <v>46148</v>
      </c>
      <c r="L31" s="13" t="s">
        <v>20</v>
      </c>
    </row>
    <row r="32" spans="1:15" ht="15" customHeight="1">
      <c r="A32" s="1">
        <v>31</v>
      </c>
      <c r="B32" s="33" t="s">
        <v>50</v>
      </c>
      <c r="C32" t="str">
        <f t="shared" si="1"/>
        <v>Apr</v>
      </c>
      <c r="D32" s="7">
        <v>46134</v>
      </c>
      <c r="E32" t="s">
        <v>149</v>
      </c>
      <c r="F32" s="21" t="s">
        <v>150</v>
      </c>
      <c r="G32" t="s">
        <v>151</v>
      </c>
      <c r="H32" s="4" t="s">
        <v>17</v>
      </c>
      <c r="I32" t="s">
        <v>152</v>
      </c>
      <c r="J32" s="4" t="s">
        <v>19</v>
      </c>
      <c r="K32" s="7">
        <v>46134</v>
      </c>
      <c r="L32" s="13" t="s">
        <v>20</v>
      </c>
    </row>
    <row r="33" spans="1:12" ht="15" customHeight="1">
      <c r="A33" s="1">
        <v>32</v>
      </c>
      <c r="B33" s="33" t="s">
        <v>50</v>
      </c>
      <c r="C33" t="str">
        <f t="shared" si="1"/>
        <v>Apr</v>
      </c>
      <c r="D33" s="7">
        <v>46135</v>
      </c>
      <c r="E33" t="s">
        <v>31</v>
      </c>
      <c r="F33" s="21" t="s">
        <v>153</v>
      </c>
      <c r="G33" t="s">
        <v>154</v>
      </c>
      <c r="H33" s="4" t="s">
        <v>17</v>
      </c>
      <c r="I33" t="s">
        <v>155</v>
      </c>
      <c r="J33" s="4" t="s">
        <v>19</v>
      </c>
      <c r="K33" s="7">
        <v>46135</v>
      </c>
      <c r="L33" s="13" t="s">
        <v>20</v>
      </c>
    </row>
    <row r="34" spans="1:12" ht="15" customHeight="1">
      <c r="A34" s="1">
        <v>33</v>
      </c>
      <c r="B34" s="8" t="s">
        <v>156</v>
      </c>
      <c r="C34" t="str">
        <f t="shared" si="1"/>
        <v>Apr</v>
      </c>
      <c r="D34" s="7">
        <v>46138</v>
      </c>
      <c r="E34" t="s">
        <v>101</v>
      </c>
      <c r="F34" s="21" t="s">
        <v>157</v>
      </c>
      <c r="G34" t="s">
        <v>158</v>
      </c>
      <c r="H34" s="4" t="s">
        <v>17</v>
      </c>
      <c r="I34" t="s">
        <v>159</v>
      </c>
      <c r="J34" s="4" t="s">
        <v>19</v>
      </c>
      <c r="K34" s="7">
        <v>46150</v>
      </c>
      <c r="L34" s="13" t="s">
        <v>20</v>
      </c>
    </row>
    <row r="35" spans="1:12" ht="15" customHeight="1">
      <c r="A35" s="1">
        <v>34</v>
      </c>
      <c r="B35" s="8" t="s">
        <v>160</v>
      </c>
      <c r="C35" t="str">
        <f t="shared" si="1"/>
        <v>May</v>
      </c>
      <c r="D35" s="7">
        <v>46149</v>
      </c>
      <c r="E35" t="s">
        <v>31</v>
      </c>
      <c r="F35" s="21" t="s">
        <v>161</v>
      </c>
      <c r="G35" t="s">
        <v>162</v>
      </c>
      <c r="H35" s="4" t="s">
        <v>17</v>
      </c>
      <c r="I35" t="s">
        <v>163</v>
      </c>
      <c r="J35" s="4" t="s">
        <v>19</v>
      </c>
      <c r="K35" s="7">
        <v>46163</v>
      </c>
      <c r="L35" s="13" t="s">
        <v>20</v>
      </c>
    </row>
    <row r="36" spans="1:12" ht="15" customHeight="1">
      <c r="A36" s="1">
        <v>35</v>
      </c>
      <c r="B36" s="8" t="s">
        <v>164</v>
      </c>
      <c r="C36" t="str">
        <f t="shared" si="1"/>
        <v>May</v>
      </c>
      <c r="D36" s="7">
        <v>46163</v>
      </c>
      <c r="E36" t="s">
        <v>165</v>
      </c>
      <c r="F36" s="21" t="s">
        <v>166</v>
      </c>
      <c r="G36" t="s">
        <v>167</v>
      </c>
      <c r="H36" s="4" t="s">
        <v>17</v>
      </c>
      <c r="I36" s="24" t="s">
        <v>168</v>
      </c>
      <c r="J36" s="4" t="s">
        <v>19</v>
      </c>
      <c r="K36" s="7">
        <v>46164</v>
      </c>
      <c r="L36" s="13" t="s">
        <v>20</v>
      </c>
    </row>
    <row r="37" spans="1:12" ht="15" customHeight="1">
      <c r="A37" s="1">
        <v>36</v>
      </c>
      <c r="B37" s="8" t="s">
        <v>169</v>
      </c>
      <c r="C37" t="str">
        <f t="shared" si="1"/>
        <v>May</v>
      </c>
      <c r="D37" s="7">
        <v>46168</v>
      </c>
      <c r="E37" t="s">
        <v>170</v>
      </c>
      <c r="F37" s="21" t="s">
        <v>171</v>
      </c>
      <c r="G37" t="s">
        <v>172</v>
      </c>
      <c r="H37" s="4" t="s">
        <v>17</v>
      </c>
      <c r="I37" t="s">
        <v>173</v>
      </c>
      <c r="J37" s="4" t="s">
        <v>19</v>
      </c>
      <c r="K37" s="7">
        <v>46176</v>
      </c>
      <c r="L37" s="13" t="s">
        <v>20</v>
      </c>
    </row>
    <row r="38" spans="1:12" ht="15" customHeight="1">
      <c r="A38" s="1">
        <v>37</v>
      </c>
      <c r="B38" s="8" t="s">
        <v>174</v>
      </c>
      <c r="C38" t="str">
        <f t="shared" si="1"/>
        <v>Jun</v>
      </c>
      <c r="D38" s="7">
        <v>46183</v>
      </c>
      <c r="E38" t="s">
        <v>175</v>
      </c>
      <c r="F38" s="21" t="s">
        <v>176</v>
      </c>
      <c r="G38" s="24" t="s">
        <v>177</v>
      </c>
      <c r="H38" s="4" t="s">
        <v>17</v>
      </c>
      <c r="I38" s="24" t="s">
        <v>178</v>
      </c>
      <c r="J38" s="4" t="s">
        <v>19</v>
      </c>
      <c r="K38" s="7">
        <v>46183</v>
      </c>
      <c r="L38" s="13" t="s">
        <v>20</v>
      </c>
    </row>
    <row r="39" spans="1:12" ht="15" customHeight="1">
      <c r="A39" s="1">
        <v>38</v>
      </c>
      <c r="B39" s="8" t="s">
        <v>179</v>
      </c>
      <c r="C39" t="str">
        <f t="shared" si="1"/>
        <v>Jun</v>
      </c>
      <c r="D39" s="7">
        <v>46175</v>
      </c>
      <c r="E39" t="s">
        <v>175</v>
      </c>
      <c r="F39" s="35" t="s">
        <v>180</v>
      </c>
      <c r="G39" s="24" t="s">
        <v>181</v>
      </c>
      <c r="H39" s="4" t="s">
        <v>17</v>
      </c>
      <c r="I39" s="24" t="s">
        <v>182</v>
      </c>
      <c r="J39" s="4" t="s">
        <v>19</v>
      </c>
      <c r="K39" s="7">
        <v>46177</v>
      </c>
      <c r="L39" s="13" t="s">
        <v>20</v>
      </c>
    </row>
    <row r="40" spans="1:12" ht="15" customHeight="1">
      <c r="A40" s="1">
        <v>39</v>
      </c>
      <c r="B40" s="8" t="s">
        <v>50</v>
      </c>
      <c r="C40" t="str">
        <f t="shared" si="1"/>
        <v>Jun</v>
      </c>
      <c r="D40" s="7">
        <v>46175</v>
      </c>
      <c r="E40" t="s">
        <v>183</v>
      </c>
      <c r="F40" s="21" t="s">
        <v>184</v>
      </c>
      <c r="G40" t="s">
        <v>185</v>
      </c>
      <c r="H40" s="4" t="s">
        <v>17</v>
      </c>
      <c r="I40" t="s">
        <v>186</v>
      </c>
      <c r="J40" s="4" t="s">
        <v>19</v>
      </c>
      <c r="K40" s="7">
        <v>46175</v>
      </c>
      <c r="L40" s="13" t="s">
        <v>20</v>
      </c>
    </row>
    <row r="41" spans="1:12" ht="15" customHeight="1">
      <c r="A41" s="1">
        <v>40</v>
      </c>
      <c r="B41" s="8" t="s">
        <v>50</v>
      </c>
      <c r="C41" t="str">
        <f t="shared" si="1"/>
        <v>Jun</v>
      </c>
      <c r="D41" s="7">
        <v>46184</v>
      </c>
      <c r="E41" t="s">
        <v>187</v>
      </c>
      <c r="F41" s="21" t="s">
        <v>184</v>
      </c>
      <c r="G41" t="s">
        <v>185</v>
      </c>
      <c r="H41" s="4" t="s">
        <v>17</v>
      </c>
      <c r="I41" t="s">
        <v>186</v>
      </c>
      <c r="J41" s="4" t="s">
        <v>19</v>
      </c>
      <c r="K41" s="7">
        <v>46184</v>
      </c>
      <c r="L41" s="13" t="s">
        <v>20</v>
      </c>
    </row>
    <row r="42" spans="1:12" ht="15" customHeight="1">
      <c r="A42" s="1">
        <v>41</v>
      </c>
      <c r="B42" s="8" t="s">
        <v>188</v>
      </c>
      <c r="C42" t="str">
        <f>TEXT(D42,"MMM")</f>
        <v>Apr</v>
      </c>
      <c r="D42" s="7">
        <v>46127</v>
      </c>
      <c r="E42" t="s">
        <v>120</v>
      </c>
      <c r="F42" s="21" t="s">
        <v>189</v>
      </c>
      <c r="G42" s="24" t="s">
        <v>190</v>
      </c>
      <c r="H42" s="4" t="s">
        <v>17</v>
      </c>
      <c r="I42" t="s">
        <v>191</v>
      </c>
      <c r="J42" s="4" t="s">
        <v>19</v>
      </c>
      <c r="K42" s="7">
        <v>46133</v>
      </c>
      <c r="L42" s="13" t="s">
        <v>20</v>
      </c>
    </row>
    <row r="43" spans="1:12" ht="15" customHeight="1">
      <c r="A43" s="1">
        <v>42</v>
      </c>
      <c r="B43" s="8" t="s">
        <v>192</v>
      </c>
      <c r="C43" t="str">
        <f t="shared" si="1"/>
        <v>Jun</v>
      </c>
      <c r="D43" s="7">
        <v>46189</v>
      </c>
      <c r="E43" t="s">
        <v>62</v>
      </c>
      <c r="F43" s="21" t="s">
        <v>193</v>
      </c>
      <c r="G43" t="s">
        <v>194</v>
      </c>
      <c r="H43" s="4" t="s">
        <v>17</v>
      </c>
      <c r="I43" t="s">
        <v>195</v>
      </c>
      <c r="J43" s="4" t="s">
        <v>19</v>
      </c>
      <c r="K43" s="7">
        <v>46189</v>
      </c>
      <c r="L43" s="13" t="s">
        <v>20</v>
      </c>
    </row>
    <row r="44" spans="1:12" ht="15" customHeight="1">
      <c r="A44" s="1">
        <v>43</v>
      </c>
      <c r="B44" s="8" t="s">
        <v>45</v>
      </c>
      <c r="C44" t="str">
        <f t="shared" si="1"/>
        <v>Jun</v>
      </c>
      <c r="D44" s="7">
        <v>46189</v>
      </c>
      <c r="E44" t="s">
        <v>196</v>
      </c>
      <c r="F44" s="21" t="s">
        <v>197</v>
      </c>
      <c r="G44" t="s">
        <v>198</v>
      </c>
      <c r="H44" s="4" t="s">
        <v>17</v>
      </c>
      <c r="I44" t="s">
        <v>199</v>
      </c>
      <c r="J44" s="4" t="s">
        <v>19</v>
      </c>
      <c r="K44" s="7">
        <v>46192</v>
      </c>
      <c r="L44" s="13" t="s">
        <v>20</v>
      </c>
    </row>
    <row r="45" spans="1:12" ht="15" customHeight="1">
      <c r="A45" s="1">
        <v>44</v>
      </c>
      <c r="B45" s="8" t="s">
        <v>200</v>
      </c>
      <c r="C45" t="str">
        <f t="shared" si="1"/>
        <v>Jun</v>
      </c>
      <c r="D45" s="7">
        <v>46202</v>
      </c>
      <c r="E45" t="s">
        <v>101</v>
      </c>
      <c r="F45" s="21" t="s">
        <v>201</v>
      </c>
      <c r="G45" t="s">
        <v>202</v>
      </c>
      <c r="H45" s="4" t="s">
        <v>17</v>
      </c>
      <c r="I45" t="s">
        <v>203</v>
      </c>
      <c r="J45" s="4" t="s">
        <v>19</v>
      </c>
      <c r="K45" s="7">
        <v>46202</v>
      </c>
      <c r="L45" s="13" t="s">
        <v>20</v>
      </c>
    </row>
  </sheetData>
  <sheetProtection formatCells="0" formatColumns="0" formatRows="0" insertColumns="0" insertRows="0" insertHyperlinks="0" deleteColumns="0" deleteRows="0" sort="0" autoFilter="0" pivotTables="0"/>
  <autoFilter ref="A1:M43" xr:uid="{1DC429E7-BFB2-4BCE-B3E1-958F9A894866}"/>
  <conditionalFormatting sqref="H46:H1048576">
    <cfRule type="cellIs" dxfId="9" priority="6" operator="equal">
      <formula>"In-Progress"</formula>
    </cfRule>
    <cfRule type="cellIs" dxfId="8" priority="7" operator="equal">
      <formula>"done"</formula>
    </cfRule>
  </conditionalFormatting>
  <conditionalFormatting sqref="J20 J46:J1048576">
    <cfRule type="cellIs" dxfId="7" priority="1" operator="equal">
      <formula>"New Entry"</formula>
    </cfRule>
    <cfRule type="cellIs" dxfId="6" priority="2" operator="equal">
      <formula>"Development"</formula>
    </cfRule>
    <cfRule type="cellIs" dxfId="5" priority="3" operator="equal">
      <formula>"design &amp; developed"</formula>
    </cfRule>
  </conditionalFormatting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CF0B-B650-4B2B-8502-2BE850F69DEC}">
  <dimension ref="A1:G47"/>
  <sheetViews>
    <sheetView topLeftCell="A21" workbookViewId="0">
      <selection activeCell="B32" sqref="B32"/>
    </sheetView>
  </sheetViews>
  <sheetFormatPr defaultRowHeight="15"/>
  <cols>
    <col min="1" max="1" width="26.5703125" style="57" customWidth="1"/>
    <col min="2" max="2" width="87.140625" customWidth="1"/>
    <col min="3" max="4" width="9.140625" customWidth="1"/>
    <col min="5" max="5" width="17.28515625" customWidth="1"/>
    <col min="6" max="6" width="16.5703125" customWidth="1"/>
    <col min="7" max="7" width="25" customWidth="1"/>
    <col min="8" max="9" width="9.140625" customWidth="1"/>
  </cols>
  <sheetData>
    <row r="1" spans="1:7">
      <c r="A1" s="50"/>
      <c r="B1" s="19"/>
      <c r="D1" s="9" t="s">
        <v>204</v>
      </c>
      <c r="E1" t="s">
        <v>7</v>
      </c>
    </row>
    <row r="2" spans="1:7">
      <c r="A2" s="51" t="s">
        <v>205</v>
      </c>
      <c r="B2" s="34" t="s">
        <v>5</v>
      </c>
      <c r="C2" s="11"/>
      <c r="D2" s="14">
        <f>SUM(D3:D37)</f>
        <v>35</v>
      </c>
      <c r="G2" s="8"/>
    </row>
    <row r="3" spans="1:7">
      <c r="A3" s="50" t="s">
        <v>13</v>
      </c>
      <c r="B3" s="18" t="s">
        <v>206</v>
      </c>
      <c r="D3" s="10">
        <v>1</v>
      </c>
      <c r="E3" t="s">
        <v>207</v>
      </c>
      <c r="G3" s="8"/>
    </row>
    <row r="4" spans="1:7">
      <c r="A4" s="50" t="s">
        <v>30</v>
      </c>
      <c r="B4" s="18" t="s">
        <v>208</v>
      </c>
      <c r="D4" s="10">
        <v>1</v>
      </c>
      <c r="E4" t="s">
        <v>207</v>
      </c>
      <c r="G4" s="8"/>
    </row>
    <row r="5" spans="1:7">
      <c r="A5" s="50" t="s">
        <v>35</v>
      </c>
      <c r="B5" s="18" t="s">
        <v>209</v>
      </c>
      <c r="D5" s="10">
        <v>1</v>
      </c>
      <c r="E5" t="s">
        <v>207</v>
      </c>
    </row>
    <row r="6" spans="1:7">
      <c r="A6" s="50" t="s">
        <v>39</v>
      </c>
      <c r="B6" s="18" t="s">
        <v>210</v>
      </c>
      <c r="D6" s="10">
        <v>1</v>
      </c>
      <c r="E6" t="s">
        <v>211</v>
      </c>
    </row>
    <row r="7" spans="1:7">
      <c r="A7" s="50" t="s">
        <v>61</v>
      </c>
      <c r="B7" s="18" t="s">
        <v>212</v>
      </c>
      <c r="D7" s="10">
        <v>1</v>
      </c>
      <c r="E7" t="s">
        <v>207</v>
      </c>
    </row>
    <row r="8" spans="1:7">
      <c r="A8" s="50" t="s">
        <v>74</v>
      </c>
      <c r="B8" s="18" t="s">
        <v>213</v>
      </c>
      <c r="D8" s="10">
        <v>1</v>
      </c>
      <c r="E8" t="s">
        <v>207</v>
      </c>
    </row>
    <row r="9" spans="1:7">
      <c r="A9" s="50" t="s">
        <v>82</v>
      </c>
      <c r="B9" s="18" t="s">
        <v>214</v>
      </c>
      <c r="D9" s="10">
        <v>1</v>
      </c>
    </row>
    <row r="10" spans="1:7">
      <c r="A10" s="50" t="s">
        <v>66</v>
      </c>
      <c r="B10" s="18" t="s">
        <v>215</v>
      </c>
      <c r="D10" s="10">
        <v>1</v>
      </c>
      <c r="E10" t="s">
        <v>207</v>
      </c>
    </row>
    <row r="11" spans="1:7">
      <c r="A11" s="50" t="s">
        <v>216</v>
      </c>
      <c r="B11" s="18" t="s">
        <v>217</v>
      </c>
      <c r="D11" s="10">
        <v>1</v>
      </c>
      <c r="E11" t="s">
        <v>207</v>
      </c>
    </row>
    <row r="12" spans="1:7">
      <c r="A12" s="50" t="s">
        <v>55</v>
      </c>
      <c r="B12" s="18" t="s">
        <v>218</v>
      </c>
      <c r="D12" s="10">
        <v>1</v>
      </c>
      <c r="E12" t="s">
        <v>207</v>
      </c>
    </row>
    <row r="13" spans="1:7">
      <c r="A13" s="50" t="s">
        <v>219</v>
      </c>
      <c r="B13" s="18" t="s">
        <v>220</v>
      </c>
      <c r="D13" s="10">
        <v>1</v>
      </c>
      <c r="E13" t="s">
        <v>207</v>
      </c>
    </row>
    <row r="14" spans="1:7">
      <c r="A14" s="50" t="s">
        <v>86</v>
      </c>
      <c r="B14" s="22" t="s">
        <v>221</v>
      </c>
      <c r="D14" s="10">
        <v>1</v>
      </c>
      <c r="E14" t="s">
        <v>207</v>
      </c>
    </row>
    <row r="15" spans="1:7">
      <c r="A15" s="52" t="s">
        <v>100</v>
      </c>
      <c r="B15" s="22" t="s">
        <v>102</v>
      </c>
      <c r="D15" s="10">
        <v>1</v>
      </c>
      <c r="E15" t="s">
        <v>207</v>
      </c>
    </row>
    <row r="16" spans="1:7">
      <c r="A16" s="53" t="s">
        <v>110</v>
      </c>
      <c r="B16" s="22" t="s">
        <v>111</v>
      </c>
      <c r="D16" s="10">
        <v>1</v>
      </c>
      <c r="E16" t="s">
        <v>207</v>
      </c>
    </row>
    <row r="17" spans="1:6">
      <c r="A17" s="50" t="s">
        <v>114</v>
      </c>
      <c r="B17" s="22" t="s">
        <v>115</v>
      </c>
      <c r="D17" s="10">
        <v>1</v>
      </c>
      <c r="E17" t="s">
        <v>207</v>
      </c>
    </row>
    <row r="18" spans="1:6">
      <c r="A18" s="54" t="s">
        <v>106</v>
      </c>
      <c r="B18" s="18" t="s">
        <v>222</v>
      </c>
      <c r="D18" s="10">
        <v>1</v>
      </c>
      <c r="E18" t="s">
        <v>207</v>
      </c>
      <c r="F18" s="23"/>
    </row>
    <row r="19" spans="1:6">
      <c r="A19" s="54" t="s">
        <v>223</v>
      </c>
      <c r="B19" s="48" t="s">
        <v>224</v>
      </c>
      <c r="D19" s="10">
        <v>1</v>
      </c>
      <c r="E19" t="s">
        <v>207</v>
      </c>
    </row>
    <row r="20" spans="1:6">
      <c r="A20" s="52" t="s">
        <v>119</v>
      </c>
      <c r="B20" s="18" t="s">
        <v>121</v>
      </c>
      <c r="D20" s="10">
        <v>1</v>
      </c>
      <c r="E20" t="s">
        <v>207</v>
      </c>
      <c r="F20" t="s">
        <v>225</v>
      </c>
    </row>
    <row r="21" spans="1:6">
      <c r="A21" s="55" t="s">
        <v>226</v>
      </c>
      <c r="B21" s="49" t="s">
        <v>227</v>
      </c>
      <c r="D21" s="10">
        <v>1</v>
      </c>
      <c r="E21" t="s">
        <v>207</v>
      </c>
    </row>
    <row r="22" spans="1:6">
      <c r="A22" s="56" t="s">
        <v>129</v>
      </c>
      <c r="B22" s="48" t="s">
        <v>130</v>
      </c>
      <c r="D22" s="10">
        <v>1</v>
      </c>
      <c r="E22" t="s">
        <v>207</v>
      </c>
      <c r="F22" s="27"/>
    </row>
    <row r="23" spans="1:6">
      <c r="A23" s="53" t="s">
        <v>133</v>
      </c>
      <c r="B23" s="22" t="s">
        <v>134</v>
      </c>
      <c r="D23" s="10">
        <v>1</v>
      </c>
      <c r="E23" t="s">
        <v>207</v>
      </c>
    </row>
    <row r="24" spans="1:6">
      <c r="A24" s="53" t="s">
        <v>137</v>
      </c>
      <c r="B24" s="25" t="s">
        <v>138</v>
      </c>
      <c r="D24" s="10">
        <v>1</v>
      </c>
      <c r="E24" t="s">
        <v>207</v>
      </c>
    </row>
    <row r="25" spans="1:6">
      <c r="A25" s="53" t="s">
        <v>141</v>
      </c>
      <c r="B25" s="26" t="s">
        <v>142</v>
      </c>
      <c r="D25" s="10">
        <v>1</v>
      </c>
      <c r="E25" t="s">
        <v>207</v>
      </c>
    </row>
    <row r="26" spans="1:6">
      <c r="A26" s="53" t="s">
        <v>145</v>
      </c>
      <c r="B26" s="26" t="s">
        <v>228</v>
      </c>
      <c r="D26" s="10">
        <v>1</v>
      </c>
      <c r="E26" t="s">
        <v>207</v>
      </c>
    </row>
    <row r="27" spans="1:6">
      <c r="A27" s="53" t="s">
        <v>156</v>
      </c>
      <c r="B27" s="22" t="s">
        <v>229</v>
      </c>
      <c r="D27" s="10">
        <v>1</v>
      </c>
      <c r="E27" t="s">
        <v>207</v>
      </c>
    </row>
    <row r="28" spans="1:6">
      <c r="A28" s="50" t="s">
        <v>160</v>
      </c>
      <c r="B28" s="25" t="s">
        <v>230</v>
      </c>
      <c r="D28" s="10">
        <v>1</v>
      </c>
      <c r="E28" t="s">
        <v>207</v>
      </c>
    </row>
    <row r="29" spans="1:6">
      <c r="A29" s="53" t="s">
        <v>164</v>
      </c>
      <c r="B29" s="22" t="s">
        <v>166</v>
      </c>
      <c r="D29" s="10">
        <v>1</v>
      </c>
      <c r="E29" t="s">
        <v>207</v>
      </c>
    </row>
    <row r="30" spans="1:6">
      <c r="A30" s="53" t="s">
        <v>169</v>
      </c>
      <c r="B30" s="22" t="s">
        <v>231</v>
      </c>
      <c r="D30" s="10">
        <v>1</v>
      </c>
      <c r="E30" t="s">
        <v>207</v>
      </c>
    </row>
    <row r="31" spans="1:6">
      <c r="A31" s="53" t="s">
        <v>174</v>
      </c>
      <c r="B31" s="22" t="s">
        <v>176</v>
      </c>
      <c r="D31" s="10">
        <v>1</v>
      </c>
      <c r="E31" t="s">
        <v>207</v>
      </c>
    </row>
    <row r="32" spans="1:6" ht="16.5">
      <c r="A32" s="53" t="s">
        <v>179</v>
      </c>
      <c r="B32" s="37" t="s">
        <v>180</v>
      </c>
      <c r="D32" s="10">
        <v>1</v>
      </c>
      <c r="E32" t="s">
        <v>207</v>
      </c>
    </row>
    <row r="33" spans="1:5">
      <c r="A33" s="53" t="s">
        <v>188</v>
      </c>
      <c r="B33" s="22" t="s">
        <v>189</v>
      </c>
      <c r="D33" s="10">
        <v>1</v>
      </c>
      <c r="E33" t="s">
        <v>207</v>
      </c>
    </row>
    <row r="34" spans="1:5">
      <c r="A34" s="53" t="s">
        <v>192</v>
      </c>
      <c r="B34" s="22" t="s">
        <v>232</v>
      </c>
      <c r="D34" s="10">
        <v>1</v>
      </c>
      <c r="E34" t="s">
        <v>207</v>
      </c>
    </row>
    <row r="35" spans="1:5">
      <c r="A35" s="53" t="s">
        <v>45</v>
      </c>
      <c r="B35" s="22" t="s">
        <v>197</v>
      </c>
      <c r="D35" s="10">
        <v>1</v>
      </c>
      <c r="E35" t="s">
        <v>207</v>
      </c>
    </row>
    <row r="36" spans="1:5">
      <c r="A36" s="53" t="s">
        <v>45</v>
      </c>
      <c r="B36" s="47" t="s">
        <v>126</v>
      </c>
      <c r="D36" s="10">
        <v>1</v>
      </c>
      <c r="E36" t="s">
        <v>207</v>
      </c>
    </row>
    <row r="37" spans="1:5">
      <c r="A37" s="54" t="s">
        <v>200</v>
      </c>
      <c r="B37" s="18" t="s">
        <v>201</v>
      </c>
      <c r="D37" s="10">
        <v>1</v>
      </c>
    </row>
    <row r="45" spans="1:5">
      <c r="B45" s="36"/>
    </row>
    <row r="47" spans="1:5">
      <c r="A47" s="58"/>
      <c r="B47" s="7"/>
    </row>
  </sheetData>
  <conditionalFormatting sqref="F47">
    <cfRule type="cellIs" dxfId="4" priority="4" operator="equal">
      <formula>"In-Progress"</formula>
    </cfRule>
    <cfRule type="cellIs" dxfId="3" priority="5" operator="equal">
      <formula>"done"</formula>
    </cfRule>
  </conditionalFormatting>
  <conditionalFormatting sqref="H47">
    <cfRule type="cellIs" dxfId="2" priority="1" operator="equal">
      <formula>"New Entry"</formula>
    </cfRule>
    <cfRule type="cellIs" dxfId="1" priority="2" operator="equal">
      <formula>"Development"</formula>
    </cfRule>
    <cfRule type="cellIs" dxfId="0" priority="3" operator="equal">
      <formula>"design &amp; developed"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17C8-B2F7-432D-9813-93EEB31B5A3B}">
  <dimension ref="A1:H44"/>
  <sheetViews>
    <sheetView tabSelected="1" workbookViewId="0">
      <pane ySplit="1" topLeftCell="A22" activePane="bottomLeft" state="frozen"/>
      <selection pane="bottomLeft" activeCell="H2" sqref="H2:H26"/>
    </sheetView>
  </sheetViews>
  <sheetFormatPr defaultRowHeight="15"/>
  <cols>
    <col min="5" max="5" width="16.5703125" customWidth="1"/>
  </cols>
  <sheetData>
    <row r="1" spans="1:8" ht="23.25">
      <c r="A1" s="39" t="s">
        <v>233</v>
      </c>
      <c r="B1" s="39" t="s">
        <v>234</v>
      </c>
      <c r="C1" s="40" t="s">
        <v>235</v>
      </c>
      <c r="D1" s="39" t="s">
        <v>236</v>
      </c>
      <c r="E1" s="39" t="s">
        <v>237</v>
      </c>
      <c r="F1" s="39" t="s">
        <v>238</v>
      </c>
      <c r="G1" s="39" t="s">
        <v>239</v>
      </c>
      <c r="H1" s="39" t="s">
        <v>240</v>
      </c>
    </row>
    <row r="2" spans="1:8">
      <c r="A2" s="41" t="s">
        <v>241</v>
      </c>
      <c r="B2" s="41">
        <v>2026</v>
      </c>
      <c r="C2" s="41" t="s">
        <v>242</v>
      </c>
      <c r="D2" s="41" t="s">
        <v>243</v>
      </c>
      <c r="E2" s="41" t="s">
        <v>244</v>
      </c>
      <c r="F2" s="41" t="s">
        <v>72</v>
      </c>
      <c r="G2" s="41" t="s">
        <v>245</v>
      </c>
      <c r="H2" s="41" t="str">
        <f>TEXT(14/24,"[h]"" hr ""mm"" min""")</f>
        <v>14 hr 00 min</v>
      </c>
    </row>
    <row r="3" spans="1:8">
      <c r="A3" s="41" t="s">
        <v>241</v>
      </c>
      <c r="B3" s="41">
        <v>2026</v>
      </c>
      <c r="C3" s="41" t="s">
        <v>242</v>
      </c>
      <c r="D3" s="41" t="s">
        <v>246</v>
      </c>
      <c r="E3" s="41" t="s">
        <v>247</v>
      </c>
      <c r="F3" s="41" t="s">
        <v>76</v>
      </c>
      <c r="G3" s="41" t="s">
        <v>248</v>
      </c>
      <c r="H3" s="41" t="str">
        <f>TEXT((2*4.33)/24,"[h]"" hr ""mm"" min""")</f>
        <v>8 hr 39 min</v>
      </c>
    </row>
    <row r="4" spans="1:8">
      <c r="A4" s="41" t="s">
        <v>249</v>
      </c>
      <c r="B4" s="41">
        <v>2026</v>
      </c>
      <c r="C4" s="41" t="s">
        <v>242</v>
      </c>
      <c r="D4" s="41" t="s">
        <v>250</v>
      </c>
      <c r="E4" s="42" t="s">
        <v>251</v>
      </c>
      <c r="F4" s="42" t="s">
        <v>252</v>
      </c>
      <c r="G4" s="41" t="s">
        <v>253</v>
      </c>
      <c r="H4" s="41" t="str">
        <f>TEXT((10*4.33)/1440,"[h]"" hr ""mm"" min""")</f>
        <v>0 hr 43 min</v>
      </c>
    </row>
    <row r="5" spans="1:8">
      <c r="A5" s="41" t="s">
        <v>249</v>
      </c>
      <c r="B5" s="41">
        <v>2026</v>
      </c>
      <c r="C5" s="41" t="s">
        <v>242</v>
      </c>
      <c r="D5" s="41" t="s">
        <v>254</v>
      </c>
      <c r="E5" s="41" t="s">
        <v>255</v>
      </c>
      <c r="F5" s="42" t="s">
        <v>256</v>
      </c>
      <c r="G5" s="43" t="s">
        <v>257</v>
      </c>
      <c r="H5" s="43" t="str">
        <f>TEXT((20*22)/1440,"[h]"" hr ""mm"" min""")</f>
        <v>7 hr 20 min</v>
      </c>
    </row>
    <row r="6" spans="1:8">
      <c r="A6" s="41" t="s">
        <v>241</v>
      </c>
      <c r="B6" s="41">
        <v>2026</v>
      </c>
      <c r="C6" s="41" t="s">
        <v>258</v>
      </c>
      <c r="D6" s="41" t="s">
        <v>259</v>
      </c>
      <c r="E6" s="41" t="s">
        <v>83</v>
      </c>
      <c r="F6" s="41" t="s">
        <v>84</v>
      </c>
      <c r="G6" s="41" t="s">
        <v>260</v>
      </c>
      <c r="H6" s="41" t="str">
        <f>TEXT((15*4.33)/1440,"[h]"" hr ""mm"" min""")</f>
        <v>1 hr 04 min</v>
      </c>
    </row>
    <row r="7" spans="1:8">
      <c r="A7" s="41" t="s">
        <v>241</v>
      </c>
      <c r="B7" s="41">
        <v>2026</v>
      </c>
      <c r="C7" s="41" t="s">
        <v>258</v>
      </c>
      <c r="D7" s="41" t="s">
        <v>261</v>
      </c>
      <c r="E7" s="44" t="s">
        <v>91</v>
      </c>
      <c r="F7" s="41" t="s">
        <v>262</v>
      </c>
      <c r="G7" s="41" t="s">
        <v>260</v>
      </c>
      <c r="H7" s="41" t="str">
        <f>TEXT((15*4.33)/1440,"[h]"" hr ""mm"" min""")</f>
        <v>1 hr 04 min</v>
      </c>
    </row>
    <row r="8" spans="1:8">
      <c r="A8" s="41" t="s">
        <v>263</v>
      </c>
      <c r="B8" s="41">
        <v>2026</v>
      </c>
      <c r="C8" s="41" t="s">
        <v>264</v>
      </c>
      <c r="D8" s="41" t="s">
        <v>265</v>
      </c>
      <c r="E8" s="44" t="s">
        <v>157</v>
      </c>
      <c r="F8" s="45" t="s">
        <v>266</v>
      </c>
      <c r="G8" s="41" t="s">
        <v>267</v>
      </c>
      <c r="H8" s="46" t="str">
        <f>TEXT((47*10)/1440,"[h]"" hr ""mm"" min""")</f>
        <v>7 hr 50 min</v>
      </c>
    </row>
    <row r="9" spans="1:8">
      <c r="A9" s="41" t="s">
        <v>241</v>
      </c>
      <c r="B9" s="41">
        <v>2026</v>
      </c>
      <c r="C9" s="41" t="s">
        <v>264</v>
      </c>
      <c r="D9" s="41" t="s">
        <v>268</v>
      </c>
      <c r="E9" s="41" t="s">
        <v>111</v>
      </c>
      <c r="F9" s="44" t="s">
        <v>112</v>
      </c>
      <c r="G9" s="41" t="s">
        <v>269</v>
      </c>
      <c r="H9" s="41" t="str">
        <f>TEXT((14/3)/24,"[h]"" hr ""mm"" min""")</f>
        <v>4 hr 40 min</v>
      </c>
    </row>
    <row r="10" spans="1:8">
      <c r="A10" s="41" t="s">
        <v>241</v>
      </c>
      <c r="B10" s="41">
        <v>2026</v>
      </c>
      <c r="C10" s="41" t="s">
        <v>264</v>
      </c>
      <c r="D10" s="41" t="s">
        <v>270</v>
      </c>
      <c r="E10" s="44" t="s">
        <v>115</v>
      </c>
      <c r="F10" s="41" t="s">
        <v>116</v>
      </c>
      <c r="G10" s="41" t="s">
        <v>271</v>
      </c>
      <c r="H10" s="41" t="str">
        <f>TEXT(7/24,"[h]"" hr ""mm"" min""")</f>
        <v>7 hr 00 min</v>
      </c>
    </row>
    <row r="11" spans="1:8">
      <c r="A11" s="41" t="s">
        <v>241</v>
      </c>
      <c r="B11" s="41">
        <v>2026</v>
      </c>
      <c r="C11" s="41" t="s">
        <v>264</v>
      </c>
      <c r="D11" s="41" t="s">
        <v>272</v>
      </c>
      <c r="E11" s="41" t="s">
        <v>142</v>
      </c>
      <c r="F11" s="41" t="s">
        <v>143</v>
      </c>
      <c r="G11" s="41" t="s">
        <v>273</v>
      </c>
      <c r="H11" s="41" t="str">
        <f>TEXT((10*2*4.33)/1440,"[h]"" hr ""mm"" min""")</f>
        <v>1 hr 26 min</v>
      </c>
    </row>
    <row r="12" spans="1:8">
      <c r="A12" s="41" t="s">
        <v>274</v>
      </c>
      <c r="B12" s="41">
        <v>2026</v>
      </c>
      <c r="C12" s="41" t="s">
        <v>264</v>
      </c>
      <c r="D12" s="41" t="s">
        <v>275</v>
      </c>
      <c r="E12" s="44" t="s">
        <v>276</v>
      </c>
      <c r="F12" s="41" t="s">
        <v>147</v>
      </c>
      <c r="G12" s="41" t="s">
        <v>277</v>
      </c>
      <c r="H12" s="41" t="str">
        <f>TEXT(4.5/24,"[h]"" hr ""mm"" min""")</f>
        <v>4 hr 30 min</v>
      </c>
    </row>
    <row r="13" spans="1:8">
      <c r="A13" s="41" t="s">
        <v>241</v>
      </c>
      <c r="B13" s="41">
        <v>2026</v>
      </c>
      <c r="C13" s="41" t="s">
        <v>264</v>
      </c>
      <c r="D13" s="41" t="s">
        <v>278</v>
      </c>
      <c r="E13" s="41" t="s">
        <v>161</v>
      </c>
      <c r="F13" s="41" t="s">
        <v>162</v>
      </c>
      <c r="G13" s="41" t="s">
        <v>279</v>
      </c>
      <c r="H13" s="41" t="str">
        <f>TEXT(24/24,"[h]"" hr ""mm"" min""")</f>
        <v>24 hr 00 min</v>
      </c>
    </row>
    <row r="14" spans="1:8">
      <c r="A14" s="41" t="s">
        <v>241</v>
      </c>
      <c r="B14" s="41">
        <v>2026</v>
      </c>
      <c r="C14" s="41" t="s">
        <v>264</v>
      </c>
      <c r="D14" s="41" t="s">
        <v>280</v>
      </c>
      <c r="E14" s="41" t="s">
        <v>281</v>
      </c>
      <c r="F14" s="45" t="s">
        <v>135</v>
      </c>
      <c r="G14" s="41" t="s">
        <v>282</v>
      </c>
      <c r="H14" s="41" t="str">
        <f>TEXT((10*22)/1440,"[h]"" hr ""mm"" min""")</f>
        <v>3 hr 40 min</v>
      </c>
    </row>
    <row r="15" spans="1:8">
      <c r="A15" s="41" t="s">
        <v>249</v>
      </c>
      <c r="B15" s="41">
        <v>2026</v>
      </c>
      <c r="C15" s="41" t="s">
        <v>264</v>
      </c>
      <c r="D15" s="41" t="s">
        <v>283</v>
      </c>
      <c r="E15" s="41" t="s">
        <v>130</v>
      </c>
      <c r="F15" s="45" t="s">
        <v>131</v>
      </c>
      <c r="G15" s="41" t="s">
        <v>253</v>
      </c>
      <c r="H15" s="41" t="str">
        <f>TEXT((10*4.33)/1440,"[h]"" hr ""mm"" min""")</f>
        <v>0 hr 43 min</v>
      </c>
    </row>
    <row r="16" spans="1:8">
      <c r="A16" s="41" t="s">
        <v>274</v>
      </c>
      <c r="B16" s="41">
        <v>2026</v>
      </c>
      <c r="C16" s="41" t="s">
        <v>264</v>
      </c>
      <c r="D16" s="41" t="s">
        <v>284</v>
      </c>
      <c r="E16" s="41" t="s">
        <v>285</v>
      </c>
      <c r="F16" s="41" t="s">
        <v>151</v>
      </c>
      <c r="G16" s="41" t="s">
        <v>253</v>
      </c>
      <c r="H16" s="41" t="str">
        <f>TEXT((10*4.33)/1440,"[h]"" hr ""mm"" min""")</f>
        <v>0 hr 43 min</v>
      </c>
    </row>
    <row r="17" spans="1:8">
      <c r="A17" s="41" t="s">
        <v>241</v>
      </c>
      <c r="B17" s="41">
        <v>2026</v>
      </c>
      <c r="C17" s="41" t="s">
        <v>264</v>
      </c>
      <c r="D17" s="41" t="s">
        <v>286</v>
      </c>
      <c r="E17" s="44" t="s">
        <v>287</v>
      </c>
      <c r="F17" s="45" t="s">
        <v>288</v>
      </c>
      <c r="G17" s="41" t="s">
        <v>289</v>
      </c>
      <c r="H17" s="41" t="str">
        <f>TEXT(2.15/24,"[h]"" hr ""mm"" min""")</f>
        <v>2 hr 09 min</v>
      </c>
    </row>
    <row r="18" spans="1:8">
      <c r="A18" s="41" t="s">
        <v>290</v>
      </c>
      <c r="B18" s="41">
        <v>2026</v>
      </c>
      <c r="C18" s="41" t="s">
        <v>291</v>
      </c>
      <c r="D18" s="41" t="s">
        <v>292</v>
      </c>
      <c r="E18" s="41" t="s">
        <v>189</v>
      </c>
      <c r="F18" s="41" t="s">
        <v>293</v>
      </c>
      <c r="G18" s="41" t="s">
        <v>294</v>
      </c>
      <c r="H18" s="41" t="str">
        <f>TEXT(1.15/24,"[h]"" hr ""mm"" min""")</f>
        <v>1 hr 09 min</v>
      </c>
    </row>
    <row r="19" spans="1:8">
      <c r="A19" s="41" t="s">
        <v>295</v>
      </c>
      <c r="B19" s="41">
        <v>2026</v>
      </c>
      <c r="C19" s="41" t="s">
        <v>291</v>
      </c>
      <c r="D19" s="41" t="s">
        <v>296</v>
      </c>
      <c r="E19" s="41" t="s">
        <v>297</v>
      </c>
      <c r="F19" s="42" t="s">
        <v>298</v>
      </c>
      <c r="G19" s="41" t="s">
        <v>299</v>
      </c>
      <c r="H19" s="41" t="str">
        <f>TEXT(2.5/24,"[h]"" hr ""mm"" min""")</f>
        <v>2 hr 30 min</v>
      </c>
    </row>
    <row r="20" spans="1:8">
      <c r="A20" s="41" t="s">
        <v>300</v>
      </c>
      <c r="B20" s="41">
        <v>2026</v>
      </c>
      <c r="C20" s="41" t="s">
        <v>291</v>
      </c>
      <c r="D20" s="41" t="s">
        <v>301</v>
      </c>
      <c r="E20" s="42" t="s">
        <v>302</v>
      </c>
      <c r="F20" s="42" t="s">
        <v>303</v>
      </c>
      <c r="G20" s="41" t="s">
        <v>299</v>
      </c>
      <c r="H20" s="41" t="str">
        <f>TEXT(2.5/24,"[h]"" hr ""mm"" min""")</f>
        <v>2 hr 30 min</v>
      </c>
    </row>
    <row r="21" spans="1:8">
      <c r="A21" s="41" t="s">
        <v>304</v>
      </c>
      <c r="B21" s="41">
        <v>2026</v>
      </c>
      <c r="C21" s="41" t="s">
        <v>305</v>
      </c>
      <c r="D21" s="41" t="s">
        <v>306</v>
      </c>
      <c r="E21" s="42" t="s">
        <v>307</v>
      </c>
      <c r="F21" s="42" t="s">
        <v>308</v>
      </c>
      <c r="G21" s="41" t="s">
        <v>309</v>
      </c>
      <c r="H21" s="41" t="str">
        <f>TEXT(5/24,"[h]"" hr ""mm"" min""")</f>
        <v>5 hr 00 min</v>
      </c>
    </row>
    <row r="22" spans="1:8">
      <c r="A22" s="41" t="s">
        <v>310</v>
      </c>
      <c r="B22" s="41">
        <v>2026</v>
      </c>
      <c r="C22" s="41" t="s">
        <v>305</v>
      </c>
      <c r="D22" s="41" t="s">
        <v>311</v>
      </c>
      <c r="E22" s="41" t="s">
        <v>312</v>
      </c>
      <c r="F22" s="41" t="s">
        <v>313</v>
      </c>
      <c r="G22" s="41" t="s">
        <v>314</v>
      </c>
      <c r="H22" s="41" t="str">
        <f>TEXT((800*1)/1440,"[h]"" hr ""mm"" min""")</f>
        <v>13 hr 20 min</v>
      </c>
    </row>
    <row r="23" spans="1:8">
      <c r="A23" s="41" t="s">
        <v>315</v>
      </c>
      <c r="B23" s="41">
        <v>2026</v>
      </c>
      <c r="C23" s="41" t="s">
        <v>305</v>
      </c>
      <c r="D23" s="41" t="s">
        <v>316</v>
      </c>
      <c r="E23" s="42" t="s">
        <v>317</v>
      </c>
      <c r="F23" s="42" t="s">
        <v>318</v>
      </c>
      <c r="G23" s="41" t="s">
        <v>319</v>
      </c>
      <c r="H23" s="41" t="str">
        <f>TEXT(156/1440,"[h]"" hr ""mm"" min""")</f>
        <v>2 hr 36 min</v>
      </c>
    </row>
    <row r="24" spans="1:8">
      <c r="A24" s="41" t="s">
        <v>320</v>
      </c>
      <c r="B24" s="41">
        <v>2026</v>
      </c>
      <c r="C24" s="41" t="s">
        <v>305</v>
      </c>
      <c r="D24" s="41" t="s">
        <v>321</v>
      </c>
      <c r="E24" s="41" t="s">
        <v>322</v>
      </c>
      <c r="F24" s="41" t="s">
        <v>323</v>
      </c>
      <c r="G24" s="41" t="s">
        <v>324</v>
      </c>
      <c r="H24" s="41" t="str">
        <f>TEXT(27/24,"[h]"" hr ""mm"" min""")</f>
        <v>27 hr 00 min</v>
      </c>
    </row>
    <row r="25" spans="1:8">
      <c r="A25" s="41" t="s">
        <v>263</v>
      </c>
      <c r="B25" s="41">
        <v>2026</v>
      </c>
      <c r="C25" s="41" t="s">
        <v>305</v>
      </c>
      <c r="D25" s="41" t="s">
        <v>325</v>
      </c>
      <c r="E25" s="41" t="s">
        <v>201</v>
      </c>
      <c r="F25" s="41" t="s">
        <v>202</v>
      </c>
      <c r="G25" s="41"/>
      <c r="H25" s="41" t="str">
        <f>TEXT(15/24,"[h]"" hr ""mm"" min""")</f>
        <v>15 hr 00 min</v>
      </c>
    </row>
    <row r="26" spans="1:8">
      <c r="A26" s="41" t="s">
        <v>241</v>
      </c>
      <c r="B26" s="41">
        <v>2026</v>
      </c>
      <c r="C26" s="41" t="s">
        <v>326</v>
      </c>
      <c r="D26" s="41" t="s">
        <v>327</v>
      </c>
      <c r="E26" s="41" t="s">
        <v>328</v>
      </c>
      <c r="F26" s="41" t="s">
        <v>329</v>
      </c>
      <c r="G26" s="41" t="s">
        <v>289</v>
      </c>
      <c r="H26" s="41" t="str">
        <f>TEXT(2.25/24,"[h]"" hr ""mm"" min""")</f>
        <v>2 hr 15 min</v>
      </c>
    </row>
    <row r="27" spans="1:8">
      <c r="A27" s="41"/>
      <c r="B27" s="41"/>
      <c r="C27" s="41"/>
      <c r="D27" s="41"/>
      <c r="E27" s="41"/>
      <c r="F27" s="41"/>
      <c r="G27" s="41"/>
      <c r="H27" s="41"/>
    </row>
    <row r="28" spans="1:8">
      <c r="A28" s="41"/>
      <c r="B28" s="41"/>
      <c r="C28" s="41"/>
      <c r="D28" s="41"/>
      <c r="E28" s="41"/>
      <c r="F28" s="41"/>
      <c r="G28" s="41"/>
      <c r="H28" s="41"/>
    </row>
    <row r="29" spans="1:8">
      <c r="A29" s="41"/>
      <c r="B29" s="41"/>
      <c r="C29" s="41"/>
      <c r="D29" s="41"/>
      <c r="E29" s="41"/>
      <c r="F29" s="41"/>
      <c r="G29" s="41"/>
      <c r="H29" s="41"/>
    </row>
    <row r="30" spans="1:8">
      <c r="A30" s="41"/>
      <c r="B30" s="41"/>
      <c r="C30" s="41"/>
      <c r="D30" s="41"/>
      <c r="E30" s="41"/>
      <c r="F30" s="41"/>
      <c r="G30" s="41"/>
      <c r="H30" s="41"/>
    </row>
    <row r="31" spans="1:8">
      <c r="A31" s="41"/>
      <c r="B31" s="41"/>
      <c r="C31" s="41"/>
      <c r="D31" s="41"/>
      <c r="E31" s="41"/>
      <c r="F31" s="41"/>
      <c r="G31" s="41"/>
      <c r="H31" s="41"/>
    </row>
    <row r="32" spans="1:8">
      <c r="A32" s="41"/>
      <c r="B32" s="41"/>
      <c r="C32" s="41"/>
      <c r="D32" s="41"/>
      <c r="E32" s="41"/>
      <c r="F32" s="41"/>
      <c r="G32" s="41"/>
      <c r="H32" s="41"/>
    </row>
    <row r="33" spans="1:8">
      <c r="A33" s="41"/>
      <c r="B33" s="41"/>
      <c r="C33" s="41"/>
      <c r="D33" s="41"/>
      <c r="E33" s="41"/>
      <c r="F33" s="41"/>
      <c r="G33" s="41"/>
      <c r="H33" s="41"/>
    </row>
    <row r="34" spans="1:8">
      <c r="A34" s="41"/>
      <c r="B34" s="41"/>
      <c r="C34" s="41"/>
      <c r="D34" s="41"/>
      <c r="E34" s="41"/>
      <c r="F34" s="41"/>
      <c r="G34" s="41"/>
      <c r="H34" s="41"/>
    </row>
    <row r="35" spans="1:8">
      <c r="A35" s="41"/>
      <c r="B35" s="41"/>
      <c r="C35" s="41"/>
      <c r="D35" s="41"/>
      <c r="E35" s="41"/>
      <c r="F35" s="41"/>
      <c r="G35" s="41"/>
      <c r="H35" s="41"/>
    </row>
    <row r="36" spans="1:8">
      <c r="A36" s="41"/>
      <c r="B36" s="41"/>
      <c r="C36" s="41"/>
      <c r="D36" s="41"/>
      <c r="E36" s="41"/>
      <c r="F36" s="41"/>
      <c r="G36" s="41"/>
      <c r="H36" s="41"/>
    </row>
    <row r="37" spans="1:8">
      <c r="A37" s="41"/>
      <c r="B37" s="41"/>
      <c r="C37" s="41"/>
      <c r="D37" s="41"/>
      <c r="E37" s="41"/>
      <c r="F37" s="41"/>
      <c r="G37" s="41"/>
      <c r="H37" s="41"/>
    </row>
    <row r="38" spans="1:8">
      <c r="A38" s="41"/>
      <c r="B38" s="41"/>
      <c r="C38" s="41"/>
      <c r="D38" s="41"/>
      <c r="E38" s="41"/>
      <c r="F38" s="41"/>
      <c r="G38" s="41"/>
      <c r="H38" s="41"/>
    </row>
    <row r="39" spans="1:8">
      <c r="A39" s="41"/>
      <c r="B39" s="41"/>
      <c r="C39" s="41"/>
      <c r="D39" s="41"/>
      <c r="E39" s="41"/>
      <c r="F39" s="41"/>
      <c r="G39" s="41"/>
      <c r="H39" s="41"/>
    </row>
    <row r="40" spans="1:8">
      <c r="A40" s="41"/>
      <c r="B40" s="41"/>
      <c r="C40" s="41"/>
      <c r="D40" s="41"/>
      <c r="E40" s="41"/>
      <c r="F40" s="41"/>
      <c r="G40" s="41"/>
      <c r="H40" s="41"/>
    </row>
    <row r="41" spans="1:8">
      <c r="A41" s="41"/>
      <c r="B41" s="41"/>
      <c r="C41" s="41"/>
      <c r="D41" s="41"/>
      <c r="E41" s="41"/>
      <c r="F41" s="41"/>
      <c r="G41" s="41"/>
      <c r="H41" s="41"/>
    </row>
    <row r="42" spans="1:8">
      <c r="A42" s="41"/>
      <c r="B42" s="41"/>
      <c r="C42" s="41"/>
      <c r="D42" s="41"/>
      <c r="E42" s="41"/>
      <c r="F42" s="41"/>
      <c r="G42" s="41"/>
      <c r="H42" s="41"/>
    </row>
    <row r="43" spans="1:8">
      <c r="A43" s="41"/>
      <c r="B43" s="41"/>
      <c r="C43" s="41"/>
      <c r="D43" s="41"/>
      <c r="E43" s="41"/>
      <c r="F43" s="41"/>
      <c r="G43" s="41"/>
      <c r="H43" s="41"/>
    </row>
    <row r="44" spans="1:8">
      <c r="A44" s="41"/>
      <c r="B44" s="41"/>
      <c r="C44" s="41"/>
      <c r="D44" s="41"/>
      <c r="E44" s="41"/>
      <c r="F44" s="41"/>
      <c r="G44" s="41"/>
      <c r="H44" s="41"/>
    </row>
  </sheetData>
  <pageMargins left="0.7" right="0.7" top="0.75" bottom="0.75" header="0.3" footer="0.3"/>
  <pageSetup scale="0" firstPageNumber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Cathay Pacific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Goraksha</dc:creator>
  <cp:keywords/>
  <dc:description/>
  <cp:lastModifiedBy/>
  <cp:revision/>
  <dcterms:created xsi:type="dcterms:W3CDTF">2026-02-25T03:50:22Z</dcterms:created>
  <dcterms:modified xsi:type="dcterms:W3CDTF">2026-07-15T09:23:20Z</dcterms:modified>
  <cp:category/>
  <cp:contentStatus/>
</cp:coreProperties>
</file>